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labs" sheetId="2" state="visible" r:id="rId2"/>
    <sheet name="Equipment" sheetId="3" state="visible" r:id="rId3"/>
    <sheet name="Appliances" sheetId="4" state="visible" r:id="rId4"/>
    <sheet name="Furniture" sheetId="5" state="visible" r:id="rId5"/>
    <sheet name="Mining" sheetId="6" state="visible" r:id="rId6"/>
    <sheet name="Assumption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9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b val="1"/>
      <color rgb="00FFFFFF"/>
      <sz val="10"/>
    </font>
    <font>
      <name val="Arial"/>
      <b val="1"/>
      <sz val="10"/>
    </font>
    <font>
      <name val="Arial"/>
      <b val="1"/>
      <color rgb="00C00000"/>
      <sz val="10"/>
    </font>
    <font>
      <name val="Arial"/>
      <b val="1"/>
      <color rgb="000000FF"/>
      <sz val="10"/>
    </font>
    <font>
      <name val="Arial"/>
      <b val="1"/>
      <sz val="14"/>
    </font>
    <font>
      <name val="Arial"/>
      <i val="1"/>
      <sz val="9"/>
    </font>
    <font>
      <name val="Arial"/>
      <color theme="1"/>
      <sz val="1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2" fillId="2" borderId="0" applyAlignment="1" pivotButton="0" quotePrefix="0" xfId="0">
      <alignment vertical="center" wrapText="1"/>
    </xf>
    <xf numFmtId="0" fontId="8" fillId="0" borderId="0" pivotButton="0" quotePrefix="0" xfId="0"/>
    <xf numFmtId="164" fontId="8" fillId="0" borderId="0" pivotButton="0" quotePrefix="0" xfId="0"/>
    <xf numFmtId="0" fontId="3" fillId="0" borderId="0" pivotButton="0" quotePrefix="0" xfId="0"/>
    <xf numFmtId="164" fontId="3" fillId="0" borderId="0" pivotButton="0" quotePrefix="0" xfId="0"/>
    <xf numFmtId="0" fontId="4" fillId="0" borderId="0" pivotButton="0" quotePrefix="0" xfId="0"/>
    <xf numFmtId="0" fontId="1" fillId="0" borderId="0" pivotButton="0" quotePrefix="0" xfId="0"/>
    <xf numFmtId="3" fontId="8" fillId="0" borderId="0" pivotButton="0" quotePrefix="0" xfId="0"/>
    <xf numFmtId="164" fontId="0" fillId="0" borderId="0" pivotButton="0" quotePrefix="0" xfId="0"/>
    <xf numFmtId="9" fontId="5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38" customWidth="1" min="1" max="1"/>
    <col width="10" customWidth="1" min="2" max="2"/>
    <col width="17" customWidth="1" min="3" max="3"/>
    <col width="15" customWidth="1" min="4" max="4"/>
    <col width="20" customWidth="1" min="5" max="5"/>
    <col width="52" customWidth="1" min="6" max="6"/>
  </cols>
  <sheetData>
    <row r="1">
      <c r="A1" s="1" t="inlineStr">
        <is>
          <t>MASTER INVENTORY SUMMARY - all categories (USD)</t>
        </is>
      </c>
    </row>
    <row r="2">
      <c r="A2" s="2" t="inlineStr">
        <is>
          <t>Prepared 2026-08-27 from Google Drive source files. DRAFT - for internal planning and counsel review only. Not a solicitation.</t>
        </is>
      </c>
    </row>
    <row r="3"/>
    <row r="4">
      <c r="A4" s="3" t="inlineStr">
        <is>
          <t>Category</t>
        </is>
      </c>
      <c r="B4" s="3" t="inlineStr">
        <is>
          <t>Units</t>
        </is>
      </c>
      <c r="C4" s="3" t="inlineStr">
        <is>
          <t>Quick Sale (7-21d)</t>
        </is>
      </c>
      <c r="D4" s="3" t="inlineStr">
        <is>
          <t>Mid (30-45d)</t>
        </is>
      </c>
      <c r="E4" s="3" t="inlineStr">
        <is>
          <t>Slow / Retail (60-90d+)</t>
        </is>
      </c>
      <c r="F4" s="3" t="inlineStr">
        <is>
          <t>Status / Data gaps</t>
        </is>
      </c>
    </row>
    <row r="5">
      <c r="A5" s="4" t="inlineStr">
        <is>
          <t>Slabs &amp; tiles (porcelain/quartz/marble)</t>
        </is>
      </c>
      <c r="B5" s="4">
        <f>Slabs!E121</f>
        <v/>
      </c>
      <c r="C5" s="5">
        <f>Slabs!M121</f>
        <v/>
      </c>
      <c r="D5" s="5">
        <f>Slabs!N121</f>
        <v/>
      </c>
      <c r="E5" s="5">
        <f>Slabs!O121</f>
        <v/>
      </c>
      <c r="F5" s="4" t="inlineStr">
        <is>
          <t>Pcs per Jan-2025 list; verify current location &amp; counts</t>
        </is>
      </c>
    </row>
    <row r="6">
      <c r="A6" s="4" t="inlineStr">
        <is>
          <t>Forklifts &amp; warehouse equipment</t>
        </is>
      </c>
      <c r="B6" s="4">
        <f>Equipment!E27</f>
        <v/>
      </c>
      <c r="C6" s="5">
        <f>SUMPRODUCT((Equipment!H4:H26="Yes")*Equipment!E4:E26*Equipment!J4:J26)</f>
        <v/>
      </c>
      <c r="D6" s="5">
        <f>Equipment!M27</f>
        <v/>
      </c>
      <c r="E6" s="5">
        <f>SUMPRODUCT((Equipment!H4:H26="Yes")*Equipment!E4:E26*Equipment!L4:L26)</f>
        <v/>
      </c>
      <c r="F6" s="4" t="inlineStr">
        <is>
          <t>On-hand rows only (May 2026 file); confirm hours/condition</t>
        </is>
      </c>
    </row>
    <row r="7">
      <c r="A7" s="4" t="inlineStr">
        <is>
          <t>Appliances (luxury + mainstream)</t>
        </is>
      </c>
      <c r="B7" s="4">
        <f>Appliances!F43</f>
        <v/>
      </c>
      <c r="C7" s="5">
        <f>Appliances!J43</f>
        <v/>
      </c>
      <c r="D7" s="5">
        <f>Appliances!K43</f>
        <v/>
      </c>
      <c r="E7" s="5">
        <f>Appliances!L43</f>
        <v/>
      </c>
      <c r="F7" s="4" t="inlineStr">
        <is>
          <t>MSRP-based tiers; mainstream rows have researched asks in Notes</t>
        </is>
      </c>
    </row>
    <row r="8">
      <c r="A8" s="4" t="inlineStr">
        <is>
          <t>Furniture / mattresses / displays</t>
        </is>
      </c>
      <c r="B8" s="4" t="inlineStr">
        <is>
          <t>TBD</t>
        </is>
      </c>
      <c r="C8" s="5" t="inlineStr">
        <is>
          <t>TBD</t>
        </is>
      </c>
      <c r="D8" s="5" t="inlineStr">
        <is>
          <t>TBD</t>
        </is>
      </c>
      <c r="E8" s="5" t="inlineStr">
        <is>
          <t>TBD</t>
        </is>
      </c>
      <c r="F8" s="4" t="inlineStr">
        <is>
          <t>Physical count required - Zoho stock shows zero for most SKUs</t>
        </is>
      </c>
    </row>
    <row r="9">
      <c r="A9" s="4" t="inlineStr">
        <is>
          <t>Ausavina stone equipment (new stock)</t>
        </is>
      </c>
      <c r="B9" s="4" t="inlineStr">
        <is>
          <t>TBD</t>
        </is>
      </c>
      <c r="C9" s="5" t="inlineStr">
        <is>
          <t>TBD</t>
        </is>
      </c>
      <c r="D9" s="5" t="inlineStr">
        <is>
          <t>TBD</t>
        </is>
      </c>
      <c r="E9" s="5" t="inlineStr">
        <is>
          <t>TBD</t>
        </is>
      </c>
      <c r="F9" s="4" t="inlineStr">
        <is>
          <t>Use Ausavina US price list Apr-2025 as 'Slow'; count stock Sunday</t>
        </is>
      </c>
    </row>
    <row r="10">
      <c r="A10" s="4" t="inlineStr">
        <is>
          <t>Mining licenses (13 sites, Turkiye)</t>
        </is>
      </c>
      <c r="B10" s="4" t="n">
        <v>13</v>
      </c>
      <c r="C10" s="5" t="inlineStr">
        <is>
          <t>n/a</t>
        </is>
      </c>
      <c r="D10" s="5" t="inlineStr">
        <is>
          <t>n/a</t>
        </is>
      </c>
      <c r="E10" s="5" t="inlineStr">
        <is>
          <t>n/a</t>
        </is>
      </c>
      <c r="F10" s="4" t="inlineStr">
        <is>
          <t>Not priced - teaser/NDA/data-room process; verify license fees paid</t>
        </is>
      </c>
    </row>
    <row r="11">
      <c r="A11" s="6" t="inlineStr">
        <is>
          <t>TOTAL (priced categories)</t>
        </is>
      </c>
      <c r="C11" s="7">
        <f>SUM(C5:C7)</f>
        <v/>
      </c>
      <c r="D11" s="7">
        <f>SUM(D5:D7)</f>
        <v/>
      </c>
      <c r="E11" s="7">
        <f>SUM(E5:E7)</f>
        <v/>
      </c>
    </row>
    <row r="12"/>
    <row r="13">
      <c r="A13" s="8" t="inlineStr">
        <is>
          <t>LEGAL: Seller of record is Milhurst Mills (inventory sold to Milhurst in 2025); principal acts as its authorized sales agent. Principal is in Chapter 11</t>
        </is>
      </c>
    </row>
    <row r="14">
      <c r="A14" s="8" t="inlineStr">
        <is>
          <t>(In re Cakmak, 26-11521-VFP, D.N.J.): signed agency agreement + counsel clearance (Zazella &amp; Singer) required before any offer; all proceeds to Milhurst's account;</t>
        </is>
      </c>
    </row>
    <row r="15">
      <c r="A15" s="8" t="inlineStr">
        <is>
          <t>agent compensation disclosed in MORs. Mining licenses are Ultima Ltd. Sti. property - NOT part of the Milhurst mandate. See SALES_PLAN_30_DAYS.md.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6" customWidth="1" min="2" max="2"/>
    <col width="10" customWidth="1" min="3" max="3"/>
    <col width="14" customWidth="1" min="4" max="4"/>
    <col width="8" customWidth="1" min="5" max="5"/>
    <col width="12" customWidth="1" min="6" max="6"/>
    <col width="12" customWidth="1" min="7" max="7"/>
    <col width="12" customWidth="1" min="8" max="8"/>
    <col width="30" customWidth="1" min="9" max="9"/>
    <col width="12" customWidth="1" min="10" max="10"/>
    <col width="12" customWidth="1" min="11" max="11"/>
    <col width="12" customWidth="1" min="12" max="12"/>
    <col width="13" customWidth="1" min="13" max="13"/>
    <col width="13" customWidth="1" min="14" max="14"/>
    <col width="13" customWidth="1" min="15" max="15"/>
  </cols>
  <sheetData>
    <row r="1">
      <c r="A1" s="9" t="inlineStr">
        <is>
          <t>PORCELAIN / QUARTZ / MARBLE SLAB INVENTORY (BZ International Trade LLC records)</t>
        </is>
      </c>
    </row>
    <row r="2"/>
    <row r="3">
      <c r="A3" s="3" t="inlineStr">
        <is>
          <t>Category</t>
        </is>
      </c>
      <c r="B3" s="3" t="inlineStr">
        <is>
          <t>Product</t>
        </is>
      </c>
      <c r="C3" s="3" t="inlineStr">
        <is>
          <t>Origin</t>
        </is>
      </c>
      <c r="D3" s="3" t="inlineStr">
        <is>
          <t>Size</t>
        </is>
      </c>
      <c r="E3" s="3" t="inlineStr">
        <is>
          <t>Pcs</t>
        </is>
      </c>
      <c r="F3" s="3" t="inlineStr">
        <is>
          <t>UnitCost_Actual</t>
        </is>
      </c>
      <c r="G3" s="3" t="inlineStr">
        <is>
          <t>ListA_Jan2025</t>
        </is>
      </c>
      <c r="H3" s="3" t="inlineStr">
        <is>
          <t>ListB_Jun2025</t>
        </is>
      </c>
      <c r="I3" s="3" t="inlineStr">
        <is>
          <t>Notes</t>
        </is>
      </c>
      <c r="J3" s="3" t="inlineStr">
        <is>
          <t>Quick Sale $/pc</t>
        </is>
      </c>
      <c r="K3" s="3" t="inlineStr">
        <is>
          <t>Mid $/pc</t>
        </is>
      </c>
      <c r="L3" s="3" t="inlineStr">
        <is>
          <t>Slow $/pc</t>
        </is>
      </c>
      <c r="M3" s="3" t="inlineStr">
        <is>
          <t>Total @ Quick</t>
        </is>
      </c>
      <c r="N3" s="3" t="inlineStr">
        <is>
          <t>Total @ Mid</t>
        </is>
      </c>
      <c r="O3" s="3" t="inlineStr">
        <is>
          <t>Total @ Slow</t>
        </is>
      </c>
    </row>
    <row r="4">
      <c r="A4" s="4" t="inlineStr">
        <is>
          <t>Porcelain 5mm</t>
        </is>
      </c>
      <c r="B4" s="4" t="inlineStr">
        <is>
          <t>CALACATA PULIDO</t>
        </is>
      </c>
      <c r="C4" s="4" t="inlineStr">
        <is>
          <t>SPAIN</t>
        </is>
      </c>
      <c r="D4" s="4" t="inlineStr">
        <is>
          <t>260X120X5</t>
        </is>
      </c>
      <c r="E4" s="10" t="n">
        <v>52</v>
      </c>
      <c r="F4" s="11" t="n"/>
      <c r="G4" s="5" t="n">
        <v>158</v>
      </c>
      <c r="H4" s="5" t="n">
        <v>290</v>
      </c>
      <c r="I4" s="4" t="inlineStr"/>
      <c r="J4" s="5">
        <f>IF(F4&lt;&gt;"",F4*Assumptions!$B$4,"")</f>
        <v/>
      </c>
      <c r="K4" s="5">
        <f>IF(F4&lt;&gt;"",F4,"")</f>
        <v/>
      </c>
      <c r="L4" s="5">
        <f>IF(G4&lt;&gt;"",G4,F4)</f>
        <v/>
      </c>
      <c r="M4" s="5">
        <f>IF(E4&lt;&gt;"",E4*J4,"")</f>
        <v/>
      </c>
      <c r="N4" s="5">
        <f>IF(E4&lt;&gt;"",E4*K4,"")</f>
        <v/>
      </c>
      <c r="O4" s="5">
        <f>IF(E4&lt;&gt;"",E4*L4,"")</f>
        <v/>
      </c>
    </row>
    <row r="5">
      <c r="A5" s="4" t="inlineStr">
        <is>
          <t>Porcelain 5mm</t>
        </is>
      </c>
      <c r="B5" s="4" t="inlineStr">
        <is>
          <t>CORINTO PULIDO</t>
        </is>
      </c>
      <c r="C5" s="4" t="inlineStr">
        <is>
          <t>SPAIN</t>
        </is>
      </c>
      <c r="D5" s="4" t="inlineStr">
        <is>
          <t>260X120X5</t>
        </is>
      </c>
      <c r="E5" s="10" t="n">
        <v>39</v>
      </c>
      <c r="F5" s="11" t="n"/>
      <c r="G5" s="5" t="n">
        <v>158</v>
      </c>
      <c r="H5" s="5" t="n">
        <v>290</v>
      </c>
      <c r="I5" s="4" t="inlineStr"/>
      <c r="J5" s="5">
        <f>IF(F5&lt;&gt;"",F5*Assumptions!$B$4,"")</f>
        <v/>
      </c>
      <c r="K5" s="5">
        <f>IF(F5&lt;&gt;"",F5,"")</f>
        <v/>
      </c>
      <c r="L5" s="5">
        <f>IF(G5&lt;&gt;"",G5,F5)</f>
        <v/>
      </c>
      <c r="M5" s="5">
        <f>IF(E5&lt;&gt;"",E5*J5,"")</f>
        <v/>
      </c>
      <c r="N5" s="5">
        <f>IF(E5&lt;&gt;"",E5*K5,"")</f>
        <v/>
      </c>
      <c r="O5" s="5">
        <f>IF(E5&lt;&gt;"",E5*L5,"")</f>
        <v/>
      </c>
    </row>
    <row r="6">
      <c r="A6" s="4" t="inlineStr">
        <is>
          <t>Porcelain 5mm</t>
        </is>
      </c>
      <c r="B6" s="4" t="inlineStr">
        <is>
          <t>NERO ARDI</t>
        </is>
      </c>
      <c r="C6" s="4" t="inlineStr">
        <is>
          <t>SPAIN</t>
        </is>
      </c>
      <c r="D6" s="4" t="inlineStr">
        <is>
          <t>260X120X5</t>
        </is>
      </c>
      <c r="E6" s="10" t="n">
        <v>13</v>
      </c>
      <c r="F6" s="11" t="n"/>
      <c r="G6" s="5" t="n">
        <v>158</v>
      </c>
      <c r="H6" s="5" t="n">
        <v>290</v>
      </c>
      <c r="I6" s="4" t="inlineStr"/>
      <c r="J6" s="5">
        <f>IF(F6&lt;&gt;"",F6*Assumptions!$B$4,"")</f>
        <v/>
      </c>
      <c r="K6" s="5">
        <f>IF(F6&lt;&gt;"",F6,"")</f>
        <v/>
      </c>
      <c r="L6" s="5">
        <f>IF(G6&lt;&gt;"",G6,F6)</f>
        <v/>
      </c>
      <c r="M6" s="5">
        <f>IF(E6&lt;&gt;"",E6*J6,"")</f>
        <v/>
      </c>
      <c r="N6" s="5">
        <f>IF(E6&lt;&gt;"",E6*K6,"")</f>
        <v/>
      </c>
      <c r="O6" s="5">
        <f>IF(E6&lt;&gt;"",E6*L6,"")</f>
        <v/>
      </c>
    </row>
    <row r="7">
      <c r="A7" s="4" t="inlineStr">
        <is>
          <t>Porcelain 5mm</t>
        </is>
      </c>
      <c r="B7" s="4" t="inlineStr">
        <is>
          <t>CARRARA NATURAL</t>
        </is>
      </c>
      <c r="C7" s="4" t="inlineStr">
        <is>
          <t>SPAIN</t>
        </is>
      </c>
      <c r="D7" s="4" t="inlineStr">
        <is>
          <t>260X120X5</t>
        </is>
      </c>
      <c r="E7" s="10" t="n">
        <v>13</v>
      </c>
      <c r="F7" s="11" t="n"/>
      <c r="G7" s="5" t="n">
        <v>158</v>
      </c>
      <c r="H7" s="5" t="n">
        <v>290</v>
      </c>
      <c r="I7" s="4" t="inlineStr"/>
      <c r="J7" s="5">
        <f>IF(F7&lt;&gt;"",F7*Assumptions!$B$4,"")</f>
        <v/>
      </c>
      <c r="K7" s="5">
        <f>IF(F7&lt;&gt;"",F7,"")</f>
        <v/>
      </c>
      <c r="L7" s="5">
        <f>IF(G7&lt;&gt;"",G7,F7)</f>
        <v/>
      </c>
      <c r="M7" s="5">
        <f>IF(E7&lt;&gt;"",E7*J7,"")</f>
        <v/>
      </c>
      <c r="N7" s="5">
        <f>IF(E7&lt;&gt;"",E7*K7,"")</f>
        <v/>
      </c>
      <c r="O7" s="5">
        <f>IF(E7&lt;&gt;"",E7*L7,"")</f>
        <v/>
      </c>
    </row>
    <row r="8">
      <c r="A8" s="4" t="inlineStr">
        <is>
          <t>Porcelain 5mm</t>
        </is>
      </c>
      <c r="B8" s="4" t="inlineStr">
        <is>
          <t>ICEBERG</t>
        </is>
      </c>
      <c r="C8" s="4" t="inlineStr">
        <is>
          <t>SPAIN</t>
        </is>
      </c>
      <c r="D8" s="4" t="inlineStr">
        <is>
          <t>260X120X5</t>
        </is>
      </c>
      <c r="E8" s="10" t="n">
        <v>26</v>
      </c>
      <c r="F8" s="11" t="n"/>
      <c r="G8" s="5" t="n">
        <v>158</v>
      </c>
      <c r="H8" s="5" t="n">
        <v>290</v>
      </c>
      <c r="I8" s="4" t="inlineStr"/>
      <c r="J8" s="5">
        <f>IF(F8&lt;&gt;"",F8*Assumptions!$B$4,"")</f>
        <v/>
      </c>
      <c r="K8" s="5">
        <f>IF(F8&lt;&gt;"",F8,"")</f>
        <v/>
      </c>
      <c r="L8" s="5">
        <f>IF(G8&lt;&gt;"",G8,F8)</f>
        <v/>
      </c>
      <c r="M8" s="5">
        <f>IF(E8&lt;&gt;"",E8*J8,"")</f>
        <v/>
      </c>
      <c r="N8" s="5">
        <f>IF(E8&lt;&gt;"",E8*K8,"")</f>
        <v/>
      </c>
      <c r="O8" s="5">
        <f>IF(E8&lt;&gt;"",E8*L8,"")</f>
        <v/>
      </c>
    </row>
    <row r="9">
      <c r="A9" s="4" t="inlineStr">
        <is>
          <t>Porcelain 5mm</t>
        </is>
      </c>
      <c r="B9" s="4" t="inlineStr">
        <is>
          <t>CARRARA GLOSSY</t>
        </is>
      </c>
      <c r="C9" s="4" t="inlineStr">
        <is>
          <t>SPAIN</t>
        </is>
      </c>
      <c r="D9" s="4" t="inlineStr">
        <is>
          <t>260X120X5</t>
        </is>
      </c>
      <c r="E9" s="10" t="n">
        <v>26</v>
      </c>
      <c r="F9" s="11" t="n"/>
      <c r="G9" s="5" t="n">
        <v>158</v>
      </c>
      <c r="H9" s="5" t="n">
        <v>290</v>
      </c>
      <c r="I9" s="4" t="inlineStr"/>
      <c r="J9" s="5">
        <f>IF(F9&lt;&gt;"",F9*Assumptions!$B$4,"")</f>
        <v/>
      </c>
      <c r="K9" s="5">
        <f>IF(F9&lt;&gt;"",F9,"")</f>
        <v/>
      </c>
      <c r="L9" s="5">
        <f>IF(G9&lt;&gt;"",G9,F9)</f>
        <v/>
      </c>
      <c r="M9" s="5">
        <f>IF(E9&lt;&gt;"",E9*J9,"")</f>
        <v/>
      </c>
      <c r="N9" s="5">
        <f>IF(E9&lt;&gt;"",E9*K9,"")</f>
        <v/>
      </c>
      <c r="O9" s="5">
        <f>IF(E9&lt;&gt;"",E9*L9,"")</f>
        <v/>
      </c>
    </row>
    <row r="10">
      <c r="A10" s="4" t="inlineStr">
        <is>
          <t>Porcelain 5mm</t>
        </is>
      </c>
      <c r="B10" s="4" t="inlineStr">
        <is>
          <t>MARQUINA PLUDO</t>
        </is>
      </c>
      <c r="C10" s="4" t="inlineStr">
        <is>
          <t>SPAIN</t>
        </is>
      </c>
      <c r="D10" s="4" t="inlineStr">
        <is>
          <t>260X120X5</t>
        </is>
      </c>
      <c r="E10" s="10" t="n">
        <v>6</v>
      </c>
      <c r="F10" s="11" t="n"/>
      <c r="G10" s="5" t="n">
        <v>158</v>
      </c>
      <c r="H10" s="5" t="n">
        <v>290</v>
      </c>
      <c r="I10" s="4" t="inlineStr"/>
      <c r="J10" s="5">
        <f>IF(F10&lt;&gt;"",F10*Assumptions!$B$4,"")</f>
        <v/>
      </c>
      <c r="K10" s="5">
        <f>IF(F10&lt;&gt;"",F10,"")</f>
        <v/>
      </c>
      <c r="L10" s="5">
        <f>IF(G10&lt;&gt;"",G10,F10)</f>
        <v/>
      </c>
      <c r="M10" s="5">
        <f>IF(E10&lt;&gt;"",E10*J10,"")</f>
        <v/>
      </c>
      <c r="N10" s="5">
        <f>IF(E10&lt;&gt;"",E10*K10,"")</f>
        <v/>
      </c>
      <c r="O10" s="5">
        <f>IF(E10&lt;&gt;"",E10*L10,"")</f>
        <v/>
      </c>
    </row>
    <row r="11">
      <c r="A11" s="4" t="inlineStr">
        <is>
          <t>Porcelain 5mm</t>
        </is>
      </c>
      <c r="B11" s="4" t="inlineStr">
        <is>
          <t>DISTRITO IRON</t>
        </is>
      </c>
      <c r="C11" s="4" t="inlineStr">
        <is>
          <t>SPAIN</t>
        </is>
      </c>
      <c r="D11" s="4" t="inlineStr">
        <is>
          <t>260X120X5</t>
        </is>
      </c>
      <c r="E11" s="10" t="n">
        <v>12</v>
      </c>
      <c r="F11" s="11" t="n"/>
      <c r="G11" s="5" t="n">
        <v>158</v>
      </c>
      <c r="H11" s="5" t="n">
        <v>290</v>
      </c>
      <c r="I11" s="4" t="inlineStr"/>
      <c r="J11" s="5">
        <f>IF(F11&lt;&gt;"",F11*Assumptions!$B$4,"")</f>
        <v/>
      </c>
      <c r="K11" s="5">
        <f>IF(F11&lt;&gt;"",F11,"")</f>
        <v/>
      </c>
      <c r="L11" s="5">
        <f>IF(G11&lt;&gt;"",G11,F11)</f>
        <v/>
      </c>
      <c r="M11" s="5">
        <f>IF(E11&lt;&gt;"",E11*J11,"")</f>
        <v/>
      </c>
      <c r="N11" s="5">
        <f>IF(E11&lt;&gt;"",E11*K11,"")</f>
        <v/>
      </c>
      <c r="O11" s="5">
        <f>IF(E11&lt;&gt;"",E11*L11,"")</f>
        <v/>
      </c>
    </row>
    <row r="12">
      <c r="A12" s="4" t="inlineStr">
        <is>
          <t>Porcelain 5mm</t>
        </is>
      </c>
      <c r="B12" s="4" t="inlineStr">
        <is>
          <t>DISTRITO ALU</t>
        </is>
      </c>
      <c r="C12" s="4" t="inlineStr">
        <is>
          <t>SPAIN</t>
        </is>
      </c>
      <c r="D12" s="4" t="inlineStr">
        <is>
          <t>260X120X5</t>
        </is>
      </c>
      <c r="E12" s="10" t="n">
        <v>13</v>
      </c>
      <c r="F12" s="11" t="n"/>
      <c r="G12" s="5" t="n">
        <v>158</v>
      </c>
      <c r="H12" s="5" t="n">
        <v>290</v>
      </c>
      <c r="I12" s="4" t="inlineStr"/>
      <c r="J12" s="5">
        <f>IF(F12&lt;&gt;"",F12*Assumptions!$B$4,"")</f>
        <v/>
      </c>
      <c r="K12" s="5">
        <f>IF(F12&lt;&gt;"",F12,"")</f>
        <v/>
      </c>
      <c r="L12" s="5">
        <f>IF(G12&lt;&gt;"",G12,F12)</f>
        <v/>
      </c>
      <c r="M12" s="5">
        <f>IF(E12&lt;&gt;"",E12*J12,"")</f>
        <v/>
      </c>
      <c r="N12" s="5">
        <f>IF(E12&lt;&gt;"",E12*K12,"")</f>
        <v/>
      </c>
      <c r="O12" s="5">
        <f>IF(E12&lt;&gt;"",E12*L12,"")</f>
        <v/>
      </c>
    </row>
    <row r="13">
      <c r="A13" s="4" t="inlineStr">
        <is>
          <t>Porcelain 5mm</t>
        </is>
      </c>
      <c r="B13" s="4" t="inlineStr">
        <is>
          <t>TACO PALADIO</t>
        </is>
      </c>
      <c r="C13" s="4" t="inlineStr">
        <is>
          <t>SPAIN</t>
        </is>
      </c>
      <c r="D13" s="4" t="inlineStr">
        <is>
          <t>260X120X5</t>
        </is>
      </c>
      <c r="E13" s="10" t="n">
        <v>6</v>
      </c>
      <c r="F13" s="11" t="n"/>
      <c r="G13" s="5" t="n">
        <v>158</v>
      </c>
      <c r="H13" s="5" t="n">
        <v>290</v>
      </c>
      <c r="I13" s="4" t="inlineStr"/>
      <c r="J13" s="5">
        <f>IF(F13&lt;&gt;"",F13*Assumptions!$B$4,"")</f>
        <v/>
      </c>
      <c r="K13" s="5">
        <f>IF(F13&lt;&gt;"",F13,"")</f>
        <v/>
      </c>
      <c r="L13" s="5">
        <f>IF(G13&lt;&gt;"",G13,F13)</f>
        <v/>
      </c>
      <c r="M13" s="5">
        <f>IF(E13&lt;&gt;"",E13*J13,"")</f>
        <v/>
      </c>
      <c r="N13" s="5">
        <f>IF(E13&lt;&gt;"",E13*K13,"")</f>
        <v/>
      </c>
      <c r="O13" s="5">
        <f>IF(E13&lt;&gt;"",E13*L13,"")</f>
        <v/>
      </c>
    </row>
    <row r="14">
      <c r="A14" s="4" t="inlineStr">
        <is>
          <t>Porcelain 5mm</t>
        </is>
      </c>
      <c r="B14" s="4" t="inlineStr">
        <is>
          <t>WHITE GLOSSY</t>
        </is>
      </c>
      <c r="C14" s="4" t="inlineStr">
        <is>
          <t>SPAIN</t>
        </is>
      </c>
      <c r="D14" s="4" t="inlineStr">
        <is>
          <t>260X120X5</t>
        </is>
      </c>
      <c r="E14" s="10" t="n">
        <v>6</v>
      </c>
      <c r="F14" s="11" t="n"/>
      <c r="G14" s="5" t="n">
        <v>158</v>
      </c>
      <c r="H14" s="5" t="n">
        <v>290</v>
      </c>
      <c r="I14" s="4" t="inlineStr"/>
      <c r="J14" s="5">
        <f>IF(F14&lt;&gt;"",F14*Assumptions!$B$4,"")</f>
        <v/>
      </c>
      <c r="K14" s="5">
        <f>IF(F14&lt;&gt;"",F14,"")</f>
        <v/>
      </c>
      <c r="L14" s="5">
        <f>IF(G14&lt;&gt;"",G14,F14)</f>
        <v/>
      </c>
      <c r="M14" s="5">
        <f>IF(E14&lt;&gt;"",E14*J14,"")</f>
        <v/>
      </c>
      <c r="N14" s="5">
        <f>IF(E14&lt;&gt;"",E14*K14,"")</f>
        <v/>
      </c>
      <c r="O14" s="5">
        <f>IF(E14&lt;&gt;"",E14*L14,"")</f>
        <v/>
      </c>
    </row>
    <row r="15">
      <c r="A15" s="4" t="inlineStr">
        <is>
          <t>Porcelain 5mm</t>
        </is>
      </c>
      <c r="B15" s="4" t="inlineStr">
        <is>
          <t>WHITE NAT</t>
        </is>
      </c>
      <c r="C15" s="4" t="inlineStr">
        <is>
          <t>SPAIN</t>
        </is>
      </c>
      <c r="D15" s="4" t="inlineStr">
        <is>
          <t>260X120X5</t>
        </is>
      </c>
      <c r="E15" s="10" t="n">
        <v>7</v>
      </c>
      <c r="F15" s="11" t="n"/>
      <c r="G15" s="5" t="n">
        <v>158</v>
      </c>
      <c r="H15" s="5" t="n">
        <v>290</v>
      </c>
      <c r="I15" s="4" t="inlineStr"/>
      <c r="J15" s="5">
        <f>IF(F15&lt;&gt;"",F15*Assumptions!$B$4,"")</f>
        <v/>
      </c>
      <c r="K15" s="5">
        <f>IF(F15&lt;&gt;"",F15,"")</f>
        <v/>
      </c>
      <c r="L15" s="5">
        <f>IF(G15&lt;&gt;"",G15,F15)</f>
        <v/>
      </c>
      <c r="M15" s="5">
        <f>IF(E15&lt;&gt;"",E15*J15,"")</f>
        <v/>
      </c>
      <c r="N15" s="5">
        <f>IF(E15&lt;&gt;"",E15*K15,"")</f>
        <v/>
      </c>
      <c r="O15" s="5">
        <f>IF(E15&lt;&gt;"",E15*L15,"")</f>
        <v/>
      </c>
    </row>
    <row r="16">
      <c r="A16" s="4" t="inlineStr">
        <is>
          <t>Porcelain 5mm</t>
        </is>
      </c>
      <c r="B16" s="4" t="inlineStr">
        <is>
          <t>GUARZO RENO GLOSSY</t>
        </is>
      </c>
      <c r="C16" s="4" t="inlineStr">
        <is>
          <t>SPAIN</t>
        </is>
      </c>
      <c r="D16" s="4" t="inlineStr">
        <is>
          <t>260X120X5</t>
        </is>
      </c>
      <c r="E16" s="10" t="n">
        <v>13</v>
      </c>
      <c r="F16" s="11" t="n"/>
      <c r="G16" s="5" t="n">
        <v>158</v>
      </c>
      <c r="H16" s="5" t="n">
        <v>290</v>
      </c>
      <c r="I16" s="4" t="inlineStr"/>
      <c r="J16" s="5">
        <f>IF(F16&lt;&gt;"",F16*Assumptions!$B$4,"")</f>
        <v/>
      </c>
      <c r="K16" s="5">
        <f>IF(F16&lt;&gt;"",F16,"")</f>
        <v/>
      </c>
      <c r="L16" s="5">
        <f>IF(G16&lt;&gt;"",G16,F16)</f>
        <v/>
      </c>
      <c r="M16" s="5">
        <f>IF(E16&lt;&gt;"",E16*J16,"")</f>
        <v/>
      </c>
      <c r="N16" s="5">
        <f>IF(E16&lt;&gt;"",E16*K16,"")</f>
        <v/>
      </c>
      <c r="O16" s="5">
        <f>IF(E16&lt;&gt;"",E16*L16,"")</f>
        <v/>
      </c>
    </row>
    <row r="17">
      <c r="A17" s="4" t="inlineStr">
        <is>
          <t>Porcelain 12mm</t>
        </is>
      </c>
      <c r="B17" s="4" t="inlineStr">
        <is>
          <t>PALADIO POLIDO</t>
        </is>
      </c>
      <c r="C17" s="4" t="inlineStr">
        <is>
          <t>SPAIN</t>
        </is>
      </c>
      <c r="D17" s="4" t="inlineStr">
        <is>
          <t>3240X1620X12</t>
        </is>
      </c>
      <c r="E17" s="10" t="n">
        <v>10</v>
      </c>
      <c r="F17" s="11" t="n"/>
      <c r="G17" s="5" t="n">
        <v>432</v>
      </c>
      <c r="H17" s="5" t="n">
        <v>650</v>
      </c>
      <c r="I17" s="4" t="inlineStr"/>
      <c r="J17" s="5">
        <f>IF(F17&lt;&gt;"",F17*Assumptions!$B$4,"")</f>
        <v/>
      </c>
      <c r="K17" s="5">
        <f>IF(F17&lt;&gt;"",F17,"")</f>
        <v/>
      </c>
      <c r="L17" s="5">
        <f>IF(G17&lt;&gt;"",G17,F17)</f>
        <v/>
      </c>
      <c r="M17" s="5">
        <f>IF(E17&lt;&gt;"",E17*J17,"")</f>
        <v/>
      </c>
      <c r="N17" s="5">
        <f>IF(E17&lt;&gt;"",E17*K17,"")</f>
        <v/>
      </c>
      <c r="O17" s="5">
        <f>IF(E17&lt;&gt;"",E17*L17,"")</f>
        <v/>
      </c>
    </row>
    <row r="18">
      <c r="A18" s="4" t="inlineStr">
        <is>
          <t>Porcelain 12mm</t>
        </is>
      </c>
      <c r="B18" s="4" t="inlineStr">
        <is>
          <t>PALADIO NAT</t>
        </is>
      </c>
      <c r="C18" s="4" t="inlineStr">
        <is>
          <t>SPAIN</t>
        </is>
      </c>
      <c r="D18" s="4" t="inlineStr">
        <is>
          <t>3240X1620X12</t>
        </is>
      </c>
      <c r="E18" s="10" t="n">
        <v>3</v>
      </c>
      <c r="F18" s="11" t="n"/>
      <c r="G18" s="5" t="n">
        <v>432</v>
      </c>
      <c r="H18" s="5" t="n">
        <v>650</v>
      </c>
      <c r="I18" s="4" t="inlineStr"/>
      <c r="J18" s="5">
        <f>IF(F18&lt;&gt;"",F18*Assumptions!$B$4,"")</f>
        <v/>
      </c>
      <c r="K18" s="5">
        <f>IF(F18&lt;&gt;"",F18,"")</f>
        <v/>
      </c>
      <c r="L18" s="5">
        <f>IF(G18&lt;&gt;"",G18,F18)</f>
        <v/>
      </c>
      <c r="M18" s="5">
        <f>IF(E18&lt;&gt;"",E18*J18,"")</f>
        <v/>
      </c>
      <c r="N18" s="5">
        <f>IF(E18&lt;&gt;"",E18*K18,"")</f>
        <v/>
      </c>
      <c r="O18" s="5">
        <f>IF(E18&lt;&gt;"",E18*L18,"")</f>
        <v/>
      </c>
    </row>
    <row r="19">
      <c r="A19" s="4" t="inlineStr">
        <is>
          <t>Porcelain 12mm</t>
        </is>
      </c>
      <c r="B19" s="4" t="inlineStr">
        <is>
          <t>ICEBERG PUL</t>
        </is>
      </c>
      <c r="C19" s="4" t="inlineStr">
        <is>
          <t>SPAIN</t>
        </is>
      </c>
      <c r="D19" s="4" t="inlineStr">
        <is>
          <t>3240X1620X12</t>
        </is>
      </c>
      <c r="E19" s="10" t="n">
        <v>5</v>
      </c>
      <c r="F19" s="11" t="n"/>
      <c r="G19" s="5" t="n">
        <v>432</v>
      </c>
      <c r="H19" s="5" t="n">
        <v>650</v>
      </c>
      <c r="I19" s="4" t="inlineStr"/>
      <c r="J19" s="5">
        <f>IF(F19&lt;&gt;"",F19*Assumptions!$B$4,"")</f>
        <v/>
      </c>
      <c r="K19" s="5">
        <f>IF(F19&lt;&gt;"",F19,"")</f>
        <v/>
      </c>
      <c r="L19" s="5">
        <f>IF(G19&lt;&gt;"",G19,F19)</f>
        <v/>
      </c>
      <c r="M19" s="5">
        <f>IF(E19&lt;&gt;"",E19*J19,"")</f>
        <v/>
      </c>
      <c r="N19" s="5">
        <f>IF(E19&lt;&gt;"",E19*K19,"")</f>
        <v/>
      </c>
      <c r="O19" s="5">
        <f>IF(E19&lt;&gt;"",E19*L19,"")</f>
        <v/>
      </c>
    </row>
    <row r="20">
      <c r="A20" s="4" t="inlineStr">
        <is>
          <t>Porcelain 12mm</t>
        </is>
      </c>
      <c r="B20" s="4" t="inlineStr">
        <is>
          <t>DISTRITO ALU</t>
        </is>
      </c>
      <c r="C20" s="4" t="inlineStr">
        <is>
          <t>SPAIN</t>
        </is>
      </c>
      <c r="D20" s="4" t="inlineStr">
        <is>
          <t>3240X1620X12</t>
        </is>
      </c>
      <c r="E20" s="10" t="n">
        <v>10</v>
      </c>
      <c r="F20" s="11" t="n"/>
      <c r="G20" s="5" t="n">
        <v>432</v>
      </c>
      <c r="H20" s="5" t="n">
        <v>650</v>
      </c>
      <c r="I20" s="4" t="inlineStr"/>
      <c r="J20" s="5">
        <f>IF(F20&lt;&gt;"",F20*Assumptions!$B$4,"")</f>
        <v/>
      </c>
      <c r="K20" s="5">
        <f>IF(F20&lt;&gt;"",F20,"")</f>
        <v/>
      </c>
      <c r="L20" s="5">
        <f>IF(G20&lt;&gt;"",G20,F20)</f>
        <v/>
      </c>
      <c r="M20" s="5">
        <f>IF(E20&lt;&gt;"",E20*J20,"")</f>
        <v/>
      </c>
      <c r="N20" s="5">
        <f>IF(E20&lt;&gt;"",E20*K20,"")</f>
        <v/>
      </c>
      <c r="O20" s="5">
        <f>IF(E20&lt;&gt;"",E20*L20,"")</f>
        <v/>
      </c>
    </row>
    <row r="21">
      <c r="A21" s="4" t="inlineStr">
        <is>
          <t>Porcelain 12mm</t>
        </is>
      </c>
      <c r="B21" s="4" t="inlineStr">
        <is>
          <t>BASALTINA NEGRO</t>
        </is>
      </c>
      <c r="C21" s="4" t="inlineStr">
        <is>
          <t>SPAIN</t>
        </is>
      </c>
      <c r="D21" s="4" t="inlineStr">
        <is>
          <t>3240X1620X12</t>
        </is>
      </c>
      <c r="E21" s="10" t="n">
        <v>10</v>
      </c>
      <c r="F21" s="11" t="n"/>
      <c r="G21" s="5" t="n">
        <v>432</v>
      </c>
      <c r="H21" s="5" t="n">
        <v>650</v>
      </c>
      <c r="I21" s="4" t="inlineStr"/>
      <c r="J21" s="5">
        <f>IF(F21&lt;&gt;"",F21*Assumptions!$B$4,"")</f>
        <v/>
      </c>
      <c r="K21" s="5">
        <f>IF(F21&lt;&gt;"",F21,"")</f>
        <v/>
      </c>
      <c r="L21" s="5">
        <f>IF(G21&lt;&gt;"",G21,F21)</f>
        <v/>
      </c>
      <c r="M21" s="5">
        <f>IF(E21&lt;&gt;"",E21*J21,"")</f>
        <v/>
      </c>
      <c r="N21" s="5">
        <f>IF(E21&lt;&gt;"",E21*K21,"")</f>
        <v/>
      </c>
      <c r="O21" s="5">
        <f>IF(E21&lt;&gt;"",E21*L21,"")</f>
        <v/>
      </c>
    </row>
    <row r="22">
      <c r="A22" s="4" t="inlineStr">
        <is>
          <t>Porcelain 12mm</t>
        </is>
      </c>
      <c r="B22" s="4" t="inlineStr">
        <is>
          <t>DUAMO</t>
        </is>
      </c>
      <c r="C22" s="4" t="inlineStr">
        <is>
          <t>SPAIN</t>
        </is>
      </c>
      <c r="D22" s="4" t="inlineStr">
        <is>
          <t>3240X1620X12</t>
        </is>
      </c>
      <c r="E22" s="10" t="n">
        <v>10</v>
      </c>
      <c r="F22" s="11" t="n"/>
      <c r="G22" s="5" t="n">
        <v>432</v>
      </c>
      <c r="H22" s="5" t="n">
        <v>650</v>
      </c>
      <c r="I22" s="4" t="inlineStr"/>
      <c r="J22" s="5">
        <f>IF(F22&lt;&gt;"",F22*Assumptions!$B$4,"")</f>
        <v/>
      </c>
      <c r="K22" s="5">
        <f>IF(F22&lt;&gt;"",F22,"")</f>
        <v/>
      </c>
      <c r="L22" s="5">
        <f>IF(G22&lt;&gt;"",G22,F22)</f>
        <v/>
      </c>
      <c r="M22" s="5">
        <f>IF(E22&lt;&gt;"",E22*J22,"")</f>
        <v/>
      </c>
      <c r="N22" s="5">
        <f>IF(E22&lt;&gt;"",E22*K22,"")</f>
        <v/>
      </c>
      <c r="O22" s="5">
        <f>IF(E22&lt;&gt;"",E22*L22,"")</f>
        <v/>
      </c>
    </row>
    <row r="23">
      <c r="A23" s="4" t="inlineStr">
        <is>
          <t>Porcelain 12mm</t>
        </is>
      </c>
      <c r="B23" s="4" t="inlineStr">
        <is>
          <t>ICEBERG</t>
        </is>
      </c>
      <c r="C23" s="4" t="inlineStr">
        <is>
          <t>SPAIN</t>
        </is>
      </c>
      <c r="D23" s="4" t="inlineStr">
        <is>
          <t>3240X1620X12</t>
        </is>
      </c>
      <c r="E23" s="10" t="n">
        <v>20</v>
      </c>
      <c r="F23" s="11" t="n"/>
      <c r="G23" s="5" t="n">
        <v>432</v>
      </c>
      <c r="H23" s="5" t="n">
        <v>650</v>
      </c>
      <c r="I23" s="4" t="inlineStr"/>
      <c r="J23" s="5">
        <f>IF(F23&lt;&gt;"",F23*Assumptions!$B$4,"")</f>
        <v/>
      </c>
      <c r="K23" s="5">
        <f>IF(F23&lt;&gt;"",F23,"")</f>
        <v/>
      </c>
      <c r="L23" s="5">
        <f>IF(G23&lt;&gt;"",G23,F23)</f>
        <v/>
      </c>
      <c r="M23" s="5">
        <f>IF(E23&lt;&gt;"",E23*J23,"")</f>
        <v/>
      </c>
      <c r="N23" s="5">
        <f>IF(E23&lt;&gt;"",E23*K23,"")</f>
        <v/>
      </c>
      <c r="O23" s="5">
        <f>IF(E23&lt;&gt;"",E23*L23,"")</f>
        <v/>
      </c>
    </row>
    <row r="24">
      <c r="A24" s="4" t="inlineStr">
        <is>
          <t>Porcelain 12mm</t>
        </is>
      </c>
      <c r="B24" s="4" t="inlineStr">
        <is>
          <t>CORINTO</t>
        </is>
      </c>
      <c r="C24" s="4" t="inlineStr">
        <is>
          <t>SPAIN</t>
        </is>
      </c>
      <c r="D24" s="4" t="inlineStr">
        <is>
          <t>3240X1620X12</t>
        </is>
      </c>
      <c r="E24" s="10" t="n">
        <v>11</v>
      </c>
      <c r="F24" s="11" t="n"/>
      <c r="G24" s="5" t="n">
        <v>432</v>
      </c>
      <c r="H24" s="5" t="n">
        <v>650</v>
      </c>
      <c r="I24" s="4" t="inlineStr"/>
      <c r="J24" s="5">
        <f>IF(F24&lt;&gt;"",F24*Assumptions!$B$4,"")</f>
        <v/>
      </c>
      <c r="K24" s="5">
        <f>IF(F24&lt;&gt;"",F24,"")</f>
        <v/>
      </c>
      <c r="L24" s="5">
        <f>IF(G24&lt;&gt;"",G24,F24)</f>
        <v/>
      </c>
      <c r="M24" s="5">
        <f>IF(E24&lt;&gt;"",E24*J24,"")</f>
        <v/>
      </c>
      <c r="N24" s="5">
        <f>IF(E24&lt;&gt;"",E24*K24,"")</f>
        <v/>
      </c>
      <c r="O24" s="5">
        <f>IF(E24&lt;&gt;"",E24*L24,"")</f>
        <v/>
      </c>
    </row>
    <row r="25">
      <c r="A25" s="4" t="inlineStr">
        <is>
          <t>Porcelain 12mm</t>
        </is>
      </c>
      <c r="B25" s="4" t="inlineStr">
        <is>
          <t>PALADIO MARRON</t>
        </is>
      </c>
      <c r="C25" s="4" t="inlineStr">
        <is>
          <t>SPAIN</t>
        </is>
      </c>
      <c r="D25" s="4" t="inlineStr">
        <is>
          <t>3240X1620X12</t>
        </is>
      </c>
      <c r="E25" s="10" t="n">
        <v>10</v>
      </c>
      <c r="F25" s="11" t="n"/>
      <c r="G25" s="5" t="n">
        <v>432</v>
      </c>
      <c r="H25" s="5" t="n">
        <v>650</v>
      </c>
      <c r="I25" s="4" t="inlineStr"/>
      <c r="J25" s="5">
        <f>IF(F25&lt;&gt;"",F25*Assumptions!$B$4,"")</f>
        <v/>
      </c>
      <c r="K25" s="5">
        <f>IF(F25&lt;&gt;"",F25,"")</f>
        <v/>
      </c>
      <c r="L25" s="5">
        <f>IF(G25&lt;&gt;"",G25,F25)</f>
        <v/>
      </c>
      <c r="M25" s="5">
        <f>IF(E25&lt;&gt;"",E25*J25,"")</f>
        <v/>
      </c>
      <c r="N25" s="5">
        <f>IF(E25&lt;&gt;"",E25*K25,"")</f>
        <v/>
      </c>
      <c r="O25" s="5">
        <f>IF(E25&lt;&gt;"",E25*L25,"")</f>
        <v/>
      </c>
    </row>
    <row r="26">
      <c r="A26" s="4" t="inlineStr">
        <is>
          <t>Porcelain 12mm</t>
        </is>
      </c>
      <c r="B26" s="4" t="inlineStr">
        <is>
          <t>NERO ARDI NAT</t>
        </is>
      </c>
      <c r="C26" s="4" t="inlineStr">
        <is>
          <t>SPAIN</t>
        </is>
      </c>
      <c r="D26" s="4" t="inlineStr">
        <is>
          <t>3240X1620X12</t>
        </is>
      </c>
      <c r="E26" s="10" t="n">
        <v>8</v>
      </c>
      <c r="F26" s="11" t="n"/>
      <c r="G26" s="5" t="n">
        <v>432</v>
      </c>
      <c r="H26" s="5" t="n">
        <v>650</v>
      </c>
      <c r="I26" s="4" t="inlineStr"/>
      <c r="J26" s="5">
        <f>IF(F26&lt;&gt;"",F26*Assumptions!$B$4,"")</f>
        <v/>
      </c>
      <c r="K26" s="5">
        <f>IF(F26&lt;&gt;"",F26,"")</f>
        <v/>
      </c>
      <c r="L26" s="5">
        <f>IF(G26&lt;&gt;"",G26,F26)</f>
        <v/>
      </c>
      <c r="M26" s="5">
        <f>IF(E26&lt;&gt;"",E26*J26,"")</f>
        <v/>
      </c>
      <c r="N26" s="5">
        <f>IF(E26&lt;&gt;"",E26*K26,"")</f>
        <v/>
      </c>
      <c r="O26" s="5">
        <f>IF(E26&lt;&gt;"",E26*L26,"")</f>
        <v/>
      </c>
    </row>
    <row r="27">
      <c r="A27" s="4" t="inlineStr">
        <is>
          <t>Porcelain 12mm</t>
        </is>
      </c>
      <c r="B27" s="4" t="inlineStr">
        <is>
          <t>CALACATA POLIDO</t>
        </is>
      </c>
      <c r="C27" s="4" t="inlineStr">
        <is>
          <t>SPAIN</t>
        </is>
      </c>
      <c r="D27" s="4" t="inlineStr">
        <is>
          <t>3240X1620X12</t>
        </is>
      </c>
      <c r="E27" s="10" t="n">
        <v>6</v>
      </c>
      <c r="F27" s="11" t="n"/>
      <c r="G27" s="5" t="n">
        <v>432</v>
      </c>
      <c r="H27" s="5" t="n">
        <v>650</v>
      </c>
      <c r="I27" s="4" t="inlineStr"/>
      <c r="J27" s="5">
        <f>IF(F27&lt;&gt;"",F27*Assumptions!$B$4,"")</f>
        <v/>
      </c>
      <c r="K27" s="5">
        <f>IF(F27&lt;&gt;"",F27,"")</f>
        <v/>
      </c>
      <c r="L27" s="5">
        <f>IF(G27&lt;&gt;"",G27,F27)</f>
        <v/>
      </c>
      <c r="M27" s="5">
        <f>IF(E27&lt;&gt;"",E27*J27,"")</f>
        <v/>
      </c>
      <c r="N27" s="5">
        <f>IF(E27&lt;&gt;"",E27*K27,"")</f>
        <v/>
      </c>
      <c r="O27" s="5">
        <f>IF(E27&lt;&gt;"",E27*L27,"")</f>
        <v/>
      </c>
    </row>
    <row r="28">
      <c r="A28" s="4" t="inlineStr">
        <is>
          <t>Porcelain 12mm</t>
        </is>
      </c>
      <c r="B28" s="4" t="inlineStr">
        <is>
          <t>CALACATA NAT</t>
        </is>
      </c>
      <c r="C28" s="4" t="inlineStr">
        <is>
          <t>SPAIN</t>
        </is>
      </c>
      <c r="D28" s="4" t="inlineStr">
        <is>
          <t>3240X1620X12</t>
        </is>
      </c>
      <c r="E28" s="10" t="n">
        <v>10</v>
      </c>
      <c r="F28" s="11" t="n"/>
      <c r="G28" s="5" t="n">
        <v>432</v>
      </c>
      <c r="H28" s="5" t="n">
        <v>650</v>
      </c>
      <c r="I28" s="4" t="inlineStr"/>
      <c r="J28" s="5">
        <f>IF(F28&lt;&gt;"",F28*Assumptions!$B$4,"")</f>
        <v/>
      </c>
      <c r="K28" s="5">
        <f>IF(F28&lt;&gt;"",F28,"")</f>
        <v/>
      </c>
      <c r="L28" s="5">
        <f>IF(G28&lt;&gt;"",G28,F28)</f>
        <v/>
      </c>
      <c r="M28" s="5">
        <f>IF(E28&lt;&gt;"",E28*J28,"")</f>
        <v/>
      </c>
      <c r="N28" s="5">
        <f>IF(E28&lt;&gt;"",E28*K28,"")</f>
        <v/>
      </c>
      <c r="O28" s="5">
        <f>IF(E28&lt;&gt;"",E28*L28,"")</f>
        <v/>
      </c>
    </row>
    <row r="29">
      <c r="A29" s="4" t="inlineStr">
        <is>
          <t>Porcelain 12mm</t>
        </is>
      </c>
      <c r="B29" s="4" t="inlineStr">
        <is>
          <t>ESTATUARIO PULIDO</t>
        </is>
      </c>
      <c r="C29" s="4" t="inlineStr">
        <is>
          <t>SPAIN</t>
        </is>
      </c>
      <c r="D29" s="4" t="inlineStr">
        <is>
          <t>3240X1620X12</t>
        </is>
      </c>
      <c r="E29" s="10" t="n">
        <v>40</v>
      </c>
      <c r="F29" s="11" t="n"/>
      <c r="G29" s="5" t="n">
        <v>432</v>
      </c>
      <c r="H29" s="5" t="n">
        <v>650</v>
      </c>
      <c r="I29" s="4" t="inlineStr"/>
      <c r="J29" s="5">
        <f>IF(F29&lt;&gt;"",F29*Assumptions!$B$4,"")</f>
        <v/>
      </c>
      <c r="K29" s="5">
        <f>IF(F29&lt;&gt;"",F29,"")</f>
        <v/>
      </c>
      <c r="L29" s="5">
        <f>IF(G29&lt;&gt;"",G29,F29)</f>
        <v/>
      </c>
      <c r="M29" s="5">
        <f>IF(E29&lt;&gt;"",E29*J29,"")</f>
        <v/>
      </c>
      <c r="N29" s="5">
        <f>IF(E29&lt;&gt;"",E29*K29,"")</f>
        <v/>
      </c>
      <c r="O29" s="5">
        <f>IF(E29&lt;&gt;"",E29*L29,"")</f>
        <v/>
      </c>
    </row>
    <row r="30">
      <c r="A30" s="4" t="inlineStr">
        <is>
          <t>Porcelain 12mm</t>
        </is>
      </c>
      <c r="B30" s="4" t="inlineStr">
        <is>
          <t>MAMA GRIS</t>
        </is>
      </c>
      <c r="C30" s="4" t="inlineStr">
        <is>
          <t>SPAIN</t>
        </is>
      </c>
      <c r="D30" s="4" t="inlineStr">
        <is>
          <t>3240X1620X12</t>
        </is>
      </c>
      <c r="E30" s="10" t="n">
        <v>6</v>
      </c>
      <c r="F30" s="11" t="n"/>
      <c r="G30" s="5" t="n">
        <v>432</v>
      </c>
      <c r="H30" s="5" t="n">
        <v>650</v>
      </c>
      <c r="I30" s="4" t="inlineStr"/>
      <c r="J30" s="5">
        <f>IF(F30&lt;&gt;"",F30*Assumptions!$B$4,"")</f>
        <v/>
      </c>
      <c r="K30" s="5">
        <f>IF(F30&lt;&gt;"",F30,"")</f>
        <v/>
      </c>
      <c r="L30" s="5">
        <f>IF(G30&lt;&gt;"",G30,F30)</f>
        <v/>
      </c>
      <c r="M30" s="5">
        <f>IF(E30&lt;&gt;"",E30*J30,"")</f>
        <v/>
      </c>
      <c r="N30" s="5">
        <f>IF(E30&lt;&gt;"",E30*K30,"")</f>
        <v/>
      </c>
      <c r="O30" s="5">
        <f>IF(E30&lt;&gt;"",E30*L30,"")</f>
        <v/>
      </c>
    </row>
    <row r="31">
      <c r="A31" s="4" t="inlineStr">
        <is>
          <t>Porcelain 12mm</t>
        </is>
      </c>
      <c r="B31" s="4" t="inlineStr">
        <is>
          <t>CUARZO RENO</t>
        </is>
      </c>
      <c r="C31" s="4" t="inlineStr">
        <is>
          <t>SPAIN</t>
        </is>
      </c>
      <c r="D31" s="4" t="inlineStr">
        <is>
          <t>3240X1620X12</t>
        </is>
      </c>
      <c r="E31" s="10" t="n">
        <v>11</v>
      </c>
      <c r="F31" s="11" t="n"/>
      <c r="G31" s="5" t="n">
        <v>432</v>
      </c>
      <c r="H31" s="5" t="n">
        <v>650</v>
      </c>
      <c r="I31" s="4" t="inlineStr"/>
      <c r="J31" s="5">
        <f>IF(F31&lt;&gt;"",F31*Assumptions!$B$4,"")</f>
        <v/>
      </c>
      <c r="K31" s="5">
        <f>IF(F31&lt;&gt;"",F31,"")</f>
        <v/>
      </c>
      <c r="L31" s="5">
        <f>IF(G31&lt;&gt;"",G31,F31)</f>
        <v/>
      </c>
      <c r="M31" s="5">
        <f>IF(E31&lt;&gt;"",E31*J31,"")</f>
        <v/>
      </c>
      <c r="N31" s="5">
        <f>IF(E31&lt;&gt;"",E31*K31,"")</f>
        <v/>
      </c>
      <c r="O31" s="5">
        <f>IF(E31&lt;&gt;"",E31*L31,"")</f>
        <v/>
      </c>
    </row>
    <row r="32">
      <c r="A32" s="4" t="inlineStr">
        <is>
          <t>Porcelain 12mm</t>
        </is>
      </c>
      <c r="B32" s="4" t="inlineStr">
        <is>
          <t>BASIC NIEVE</t>
        </is>
      </c>
      <c r="C32" s="4" t="inlineStr">
        <is>
          <t>SPAIN</t>
        </is>
      </c>
      <c r="D32" s="4" t="inlineStr">
        <is>
          <t>3240X1620X12</t>
        </is>
      </c>
      <c r="E32" s="10" t="n">
        <v>10</v>
      </c>
      <c r="F32" s="11" t="n"/>
      <c r="G32" s="5" t="n">
        <v>432</v>
      </c>
      <c r="H32" s="5" t="n">
        <v>650</v>
      </c>
      <c r="I32" s="4" t="inlineStr"/>
      <c r="J32" s="5">
        <f>IF(F32&lt;&gt;"",F32*Assumptions!$B$4,"")</f>
        <v/>
      </c>
      <c r="K32" s="5">
        <f>IF(F32&lt;&gt;"",F32,"")</f>
        <v/>
      </c>
      <c r="L32" s="5">
        <f>IF(G32&lt;&gt;"",G32,F32)</f>
        <v/>
      </c>
      <c r="M32" s="5">
        <f>IF(E32&lt;&gt;"",E32*J32,"")</f>
        <v/>
      </c>
      <c r="N32" s="5">
        <f>IF(E32&lt;&gt;"",E32*K32,"")</f>
        <v/>
      </c>
      <c r="O32" s="5">
        <f>IF(E32&lt;&gt;"",E32*L32,"")</f>
        <v/>
      </c>
    </row>
    <row r="33">
      <c r="A33" s="4" t="inlineStr">
        <is>
          <t>Porcelain 12mm</t>
        </is>
      </c>
      <c r="B33" s="4" t="inlineStr">
        <is>
          <t>CUARZO RENO PULIDO</t>
        </is>
      </c>
      <c r="C33" s="4" t="inlineStr">
        <is>
          <t>SPAIN</t>
        </is>
      </c>
      <c r="D33" s="4" t="inlineStr">
        <is>
          <t>3240X1620X12</t>
        </is>
      </c>
      <c r="E33" s="10" t="n">
        <v>20</v>
      </c>
      <c r="F33" s="11" t="n"/>
      <c r="G33" s="5" t="n">
        <v>432</v>
      </c>
      <c r="H33" s="5" t="n">
        <v>650</v>
      </c>
      <c r="I33" s="4" t="inlineStr"/>
      <c r="J33" s="5">
        <f>IF(F33&lt;&gt;"",F33*Assumptions!$B$4,"")</f>
        <v/>
      </c>
      <c r="K33" s="5">
        <f>IF(F33&lt;&gt;"",F33,"")</f>
        <v/>
      </c>
      <c r="L33" s="5">
        <f>IF(G33&lt;&gt;"",G33,F33)</f>
        <v/>
      </c>
      <c r="M33" s="5">
        <f>IF(E33&lt;&gt;"",E33*J33,"")</f>
        <v/>
      </c>
      <c r="N33" s="5">
        <f>IF(E33&lt;&gt;"",E33*K33,"")</f>
        <v/>
      </c>
      <c r="O33" s="5">
        <f>IF(E33&lt;&gt;"",E33*L33,"")</f>
        <v/>
      </c>
    </row>
    <row r="34">
      <c r="A34" s="4" t="inlineStr">
        <is>
          <t>Porcelain 12mm</t>
        </is>
      </c>
      <c r="B34" s="4" t="inlineStr">
        <is>
          <t>TAJ MAHAL PULIDO</t>
        </is>
      </c>
      <c r="C34" s="4" t="inlineStr">
        <is>
          <t>SPAIN</t>
        </is>
      </c>
      <c r="D34" s="4" t="inlineStr">
        <is>
          <t>3240X1620X12</t>
        </is>
      </c>
      <c r="E34" s="10" t="n">
        <v>8</v>
      </c>
      <c r="F34" s="11" t="n"/>
      <c r="G34" s="5" t="n">
        <v>432</v>
      </c>
      <c r="H34" s="5" t="n">
        <v>650</v>
      </c>
      <c r="I34" s="4" t="inlineStr"/>
      <c r="J34" s="5">
        <f>IF(F34&lt;&gt;"",F34*Assumptions!$B$4,"")</f>
        <v/>
      </c>
      <c r="K34" s="5">
        <f>IF(F34&lt;&gt;"",F34,"")</f>
        <v/>
      </c>
      <c r="L34" s="5">
        <f>IF(G34&lt;&gt;"",G34,F34)</f>
        <v/>
      </c>
      <c r="M34" s="5">
        <f>IF(E34&lt;&gt;"",E34*J34,"")</f>
        <v/>
      </c>
      <c r="N34" s="5">
        <f>IF(E34&lt;&gt;"",E34*K34,"")</f>
        <v/>
      </c>
      <c r="O34" s="5">
        <f>IF(E34&lt;&gt;"",E34*L34,"")</f>
        <v/>
      </c>
    </row>
    <row r="35">
      <c r="A35" s="4" t="inlineStr">
        <is>
          <t>Porcelain 12mm</t>
        </is>
      </c>
      <c r="B35" s="4" t="inlineStr">
        <is>
          <t>TAJ MAHAL NAT</t>
        </is>
      </c>
      <c r="C35" s="4" t="inlineStr">
        <is>
          <t>SPAIN</t>
        </is>
      </c>
      <c r="D35" s="4" t="inlineStr">
        <is>
          <t>3240X1620X12</t>
        </is>
      </c>
      <c r="E35" s="10" t="n">
        <v>1</v>
      </c>
      <c r="F35" s="11" t="n"/>
      <c r="G35" s="5" t="n">
        <v>432</v>
      </c>
      <c r="H35" s="5" t="n">
        <v>650</v>
      </c>
      <c r="I35" s="4" t="inlineStr"/>
      <c r="J35" s="5">
        <f>IF(F35&lt;&gt;"",F35*Assumptions!$B$4,"")</f>
        <v/>
      </c>
      <c r="K35" s="5">
        <f>IF(F35&lt;&gt;"",F35,"")</f>
        <v/>
      </c>
      <c r="L35" s="5">
        <f>IF(G35&lt;&gt;"",G35,F35)</f>
        <v/>
      </c>
      <c r="M35" s="5">
        <f>IF(E35&lt;&gt;"",E35*J35,"")</f>
        <v/>
      </c>
      <c r="N35" s="5">
        <f>IF(E35&lt;&gt;"",E35*K35,"")</f>
        <v/>
      </c>
      <c r="O35" s="5">
        <f>IF(E35&lt;&gt;"",E35*L35,"")</f>
        <v/>
      </c>
    </row>
    <row r="36">
      <c r="A36" s="4" t="inlineStr">
        <is>
          <t>Porcelain 12mm</t>
        </is>
      </c>
      <c r="B36" s="4" t="inlineStr">
        <is>
          <t>BLUE ROMA</t>
        </is>
      </c>
      <c r="C36" s="4" t="inlineStr">
        <is>
          <t>SPAIN</t>
        </is>
      </c>
      <c r="D36" s="4" t="inlineStr">
        <is>
          <t>3240X1620X12</t>
        </is>
      </c>
      <c r="E36" s="10" t="n">
        <v>15</v>
      </c>
      <c r="F36" s="11" t="n"/>
      <c r="G36" s="5" t="n">
        <v>432</v>
      </c>
      <c r="H36" s="5" t="n">
        <v>650</v>
      </c>
      <c r="I36" s="4" t="inlineStr"/>
      <c r="J36" s="5">
        <f>IF(F36&lt;&gt;"",F36*Assumptions!$B$4,"")</f>
        <v/>
      </c>
      <c r="K36" s="5">
        <f>IF(F36&lt;&gt;"",F36,"")</f>
        <v/>
      </c>
      <c r="L36" s="5">
        <f>IF(G36&lt;&gt;"",G36,F36)</f>
        <v/>
      </c>
      <c r="M36" s="5">
        <f>IF(E36&lt;&gt;"",E36*J36,"")</f>
        <v/>
      </c>
      <c r="N36" s="5">
        <f>IF(E36&lt;&gt;"",E36*K36,"")</f>
        <v/>
      </c>
      <c r="O36" s="5">
        <f>IF(E36&lt;&gt;"",E36*L36,"")</f>
        <v/>
      </c>
    </row>
    <row r="37">
      <c r="A37" s="4" t="inlineStr">
        <is>
          <t>Porcelain 12mm</t>
        </is>
      </c>
      <c r="B37" s="4" t="inlineStr">
        <is>
          <t>BIANCO SUPREME</t>
        </is>
      </c>
      <c r="C37" s="4" t="inlineStr">
        <is>
          <t>SPAIN</t>
        </is>
      </c>
      <c r="D37" s="4" t="inlineStr">
        <is>
          <t>3240X1620X12</t>
        </is>
      </c>
      <c r="E37" s="10" t="n">
        <v>3</v>
      </c>
      <c r="F37" s="11" t="n"/>
      <c r="G37" s="5" t="n">
        <v>432</v>
      </c>
      <c r="H37" s="5" t="n">
        <v>650</v>
      </c>
      <c r="I37" s="4" t="inlineStr"/>
      <c r="J37" s="5">
        <f>IF(F37&lt;&gt;"",F37*Assumptions!$B$4,"")</f>
        <v/>
      </c>
      <c r="K37" s="5">
        <f>IF(F37&lt;&gt;"",F37,"")</f>
        <v/>
      </c>
      <c r="L37" s="5">
        <f>IF(G37&lt;&gt;"",G37,F37)</f>
        <v/>
      </c>
      <c r="M37" s="5">
        <f>IF(E37&lt;&gt;"",E37*J37,"")</f>
        <v/>
      </c>
      <c r="N37" s="5">
        <f>IF(E37&lt;&gt;"",E37*K37,"")</f>
        <v/>
      </c>
      <c r="O37" s="5">
        <f>IF(E37&lt;&gt;"",E37*L37,"")</f>
        <v/>
      </c>
    </row>
    <row r="38">
      <c r="A38" s="4" t="inlineStr">
        <is>
          <t>Porcelain 12mm</t>
        </is>
      </c>
      <c r="B38" s="4" t="inlineStr">
        <is>
          <t>CALAKATA VAGLIE NAT</t>
        </is>
      </c>
      <c r="C38" s="4" t="inlineStr">
        <is>
          <t>SPAIN</t>
        </is>
      </c>
      <c r="D38" s="4" t="inlineStr">
        <is>
          <t>3240X1620X12</t>
        </is>
      </c>
      <c r="E38" s="10" t="n">
        <v>11</v>
      </c>
      <c r="F38" s="11" t="n"/>
      <c r="G38" s="5" t="n">
        <v>432</v>
      </c>
      <c r="H38" s="5" t="n">
        <v>650</v>
      </c>
      <c r="I38" s="4" t="inlineStr"/>
      <c r="J38" s="5">
        <f>IF(F38&lt;&gt;"",F38*Assumptions!$B$4,"")</f>
        <v/>
      </c>
      <c r="K38" s="5">
        <f>IF(F38&lt;&gt;"",F38,"")</f>
        <v/>
      </c>
      <c r="L38" s="5">
        <f>IF(G38&lt;&gt;"",G38,F38)</f>
        <v/>
      </c>
      <c r="M38" s="5">
        <f>IF(E38&lt;&gt;"",E38*J38,"")</f>
        <v/>
      </c>
      <c r="N38" s="5">
        <f>IF(E38&lt;&gt;"",E38*K38,"")</f>
        <v/>
      </c>
      <c r="O38" s="5">
        <f>IF(E38&lt;&gt;"",E38*L38,"")</f>
        <v/>
      </c>
    </row>
    <row r="39">
      <c r="A39" s="4" t="inlineStr">
        <is>
          <t>Porcelain 12mm</t>
        </is>
      </c>
      <c r="B39" s="4" t="inlineStr">
        <is>
          <t>NERO ZIMBABWE</t>
        </is>
      </c>
      <c r="C39" s="4" t="inlineStr">
        <is>
          <t>SPAIN</t>
        </is>
      </c>
      <c r="D39" s="4" t="inlineStr">
        <is>
          <t>3240X1620X12</t>
        </is>
      </c>
      <c r="E39" s="10" t="n">
        <v>4</v>
      </c>
      <c r="F39" s="11" t="n"/>
      <c r="G39" s="5" t="n">
        <v>432</v>
      </c>
      <c r="H39" s="5" t="n">
        <v>650</v>
      </c>
      <c r="I39" s="4" t="inlineStr"/>
      <c r="J39" s="5">
        <f>IF(F39&lt;&gt;"",F39*Assumptions!$B$4,"")</f>
        <v/>
      </c>
      <c r="K39" s="5">
        <f>IF(F39&lt;&gt;"",F39,"")</f>
        <v/>
      </c>
      <c r="L39" s="5">
        <f>IF(G39&lt;&gt;"",G39,F39)</f>
        <v/>
      </c>
      <c r="M39" s="5">
        <f>IF(E39&lt;&gt;"",E39*J39,"")</f>
        <v/>
      </c>
      <c r="N39" s="5">
        <f>IF(E39&lt;&gt;"",E39*K39,"")</f>
        <v/>
      </c>
      <c r="O39" s="5">
        <f>IF(E39&lt;&gt;"",E39*L39,"")</f>
        <v/>
      </c>
    </row>
    <row r="40">
      <c r="A40" s="4" t="inlineStr">
        <is>
          <t>Porcelain 12mm</t>
        </is>
      </c>
      <c r="B40" s="4" t="inlineStr">
        <is>
          <t>CALACATA VAGLIE GLOSSY</t>
        </is>
      </c>
      <c r="C40" s="4" t="inlineStr">
        <is>
          <t>SPAIN</t>
        </is>
      </c>
      <c r="D40" s="4" t="inlineStr">
        <is>
          <t>3240X1620X12</t>
        </is>
      </c>
      <c r="E40" s="10" t="n">
        <v>8</v>
      </c>
      <c r="F40" s="11" t="n"/>
      <c r="G40" s="5" t="n">
        <v>432</v>
      </c>
      <c r="H40" s="5" t="n">
        <v>650</v>
      </c>
      <c r="I40" s="4" t="inlineStr"/>
      <c r="J40" s="5">
        <f>IF(F40&lt;&gt;"",F40*Assumptions!$B$4,"")</f>
        <v/>
      </c>
      <c r="K40" s="5">
        <f>IF(F40&lt;&gt;"",F40,"")</f>
        <v/>
      </c>
      <c r="L40" s="5">
        <f>IF(G40&lt;&gt;"",G40,F40)</f>
        <v/>
      </c>
      <c r="M40" s="5">
        <f>IF(E40&lt;&gt;"",E40*J40,"")</f>
        <v/>
      </c>
      <c r="N40" s="5">
        <f>IF(E40&lt;&gt;"",E40*K40,"")</f>
        <v/>
      </c>
      <c r="O40" s="5">
        <f>IF(E40&lt;&gt;"",E40*L40,"")</f>
        <v/>
      </c>
    </row>
    <row r="41">
      <c r="A41" s="4" t="inlineStr">
        <is>
          <t>Porcelain 12mm</t>
        </is>
      </c>
      <c r="B41" s="4" t="inlineStr">
        <is>
          <t>PANDA</t>
        </is>
      </c>
      <c r="C41" s="4" t="inlineStr">
        <is>
          <t>SPAIN</t>
        </is>
      </c>
      <c r="D41" s="4" t="inlineStr">
        <is>
          <t>3240X1620X12</t>
        </is>
      </c>
      <c r="E41" s="10" t="n">
        <v>17</v>
      </c>
      <c r="F41" s="11" t="n"/>
      <c r="G41" s="5" t="n">
        <v>432</v>
      </c>
      <c r="H41" s="5" t="n">
        <v>650</v>
      </c>
      <c r="I41" s="4" t="inlineStr"/>
      <c r="J41" s="5">
        <f>IF(F41&lt;&gt;"",F41*Assumptions!$B$4,"")</f>
        <v/>
      </c>
      <c r="K41" s="5">
        <f>IF(F41&lt;&gt;"",F41,"")</f>
        <v/>
      </c>
      <c r="L41" s="5">
        <f>IF(G41&lt;&gt;"",G41,F41)</f>
        <v/>
      </c>
      <c r="M41" s="5">
        <f>IF(E41&lt;&gt;"",E41*J41,"")</f>
        <v/>
      </c>
      <c r="N41" s="5">
        <f>IF(E41&lt;&gt;"",E41*K41,"")</f>
        <v/>
      </c>
      <c r="O41" s="5">
        <f>IF(E41&lt;&gt;"",E41*L41,"")</f>
        <v/>
      </c>
    </row>
    <row r="42">
      <c r="A42" s="4" t="inlineStr">
        <is>
          <t>Porcelain 12mm</t>
        </is>
      </c>
      <c r="B42" s="4" t="inlineStr">
        <is>
          <t>CAMOUFLAGE</t>
        </is>
      </c>
      <c r="C42" s="4" t="inlineStr">
        <is>
          <t>SPAIN</t>
        </is>
      </c>
      <c r="D42" s="4" t="inlineStr">
        <is>
          <t>3240X1620X12</t>
        </is>
      </c>
      <c r="E42" s="10" t="n">
        <v>15</v>
      </c>
      <c r="F42" s="11" t="n"/>
      <c r="G42" s="5" t="n">
        <v>432</v>
      </c>
      <c r="H42" s="5" t="n">
        <v>650</v>
      </c>
      <c r="I42" s="4" t="inlineStr"/>
      <c r="J42" s="5">
        <f>IF(F42&lt;&gt;"",F42*Assumptions!$B$4,"")</f>
        <v/>
      </c>
      <c r="K42" s="5">
        <f>IF(F42&lt;&gt;"",F42,"")</f>
        <v/>
      </c>
      <c r="L42" s="5">
        <f>IF(G42&lt;&gt;"",G42,F42)</f>
        <v/>
      </c>
      <c r="M42" s="5">
        <f>IF(E42&lt;&gt;"",E42*J42,"")</f>
        <v/>
      </c>
      <c r="N42" s="5">
        <f>IF(E42&lt;&gt;"",E42*K42,"")</f>
        <v/>
      </c>
      <c r="O42" s="5">
        <f>IF(E42&lt;&gt;"",E42*L42,"")</f>
        <v/>
      </c>
    </row>
    <row r="43">
      <c r="A43" s="4" t="inlineStr">
        <is>
          <t>Porcelain 12mm</t>
        </is>
      </c>
      <c r="B43" s="4" t="inlineStr">
        <is>
          <t>MACCHIA VECCHIA</t>
        </is>
      </c>
      <c r="C43" s="4" t="inlineStr">
        <is>
          <t>SPAIN</t>
        </is>
      </c>
      <c r="D43" s="4" t="inlineStr">
        <is>
          <t>3240X1620X12</t>
        </is>
      </c>
      <c r="E43" s="10" t="n">
        <v>20</v>
      </c>
      <c r="F43" s="11" t="n"/>
      <c r="G43" s="5" t="n">
        <v>432</v>
      </c>
      <c r="H43" s="5" t="n">
        <v>650</v>
      </c>
      <c r="I43" s="4" t="inlineStr"/>
      <c r="J43" s="5">
        <f>IF(F43&lt;&gt;"",F43*Assumptions!$B$4,"")</f>
        <v/>
      </c>
      <c r="K43" s="5">
        <f>IF(F43&lt;&gt;"",F43,"")</f>
        <v/>
      </c>
      <c r="L43" s="5">
        <f>IF(G43&lt;&gt;"",G43,F43)</f>
        <v/>
      </c>
      <c r="M43" s="5">
        <f>IF(E43&lt;&gt;"",E43*J43,"")</f>
        <v/>
      </c>
      <c r="N43" s="5">
        <f>IF(E43&lt;&gt;"",E43*K43,"")</f>
        <v/>
      </c>
      <c r="O43" s="5">
        <f>IF(E43&lt;&gt;"",E43*L43,"")</f>
        <v/>
      </c>
    </row>
    <row r="44">
      <c r="A44" s="4" t="inlineStr">
        <is>
          <t>Porcelain 12mm</t>
        </is>
      </c>
      <c r="B44" s="4" t="inlineStr">
        <is>
          <t>CARRARA</t>
        </is>
      </c>
      <c r="C44" s="4" t="inlineStr">
        <is>
          <t>SPAIN</t>
        </is>
      </c>
      <c r="D44" s="4" t="inlineStr">
        <is>
          <t>3240X1620X12</t>
        </is>
      </c>
      <c r="E44" s="10" t="n">
        <v>74</v>
      </c>
      <c r="F44" s="11" t="n"/>
      <c r="G44" s="5" t="n">
        <v>432</v>
      </c>
      <c r="H44" s="5" t="n">
        <v>650</v>
      </c>
      <c r="I44" s="4" t="inlineStr"/>
      <c r="J44" s="5">
        <f>IF(F44&lt;&gt;"",F44*Assumptions!$B$4,"")</f>
        <v/>
      </c>
      <c r="K44" s="5">
        <f>IF(F44&lt;&gt;"",F44,"")</f>
        <v/>
      </c>
      <c r="L44" s="5">
        <f>IF(G44&lt;&gt;"",G44,F44)</f>
        <v/>
      </c>
      <c r="M44" s="5">
        <f>IF(E44&lt;&gt;"",E44*J44,"")</f>
        <v/>
      </c>
      <c r="N44" s="5">
        <f>IF(E44&lt;&gt;"",E44*K44,"")</f>
        <v/>
      </c>
      <c r="O44" s="5">
        <f>IF(E44&lt;&gt;"",E44*L44,"")</f>
        <v/>
      </c>
    </row>
    <row r="45">
      <c r="A45" s="4" t="inlineStr">
        <is>
          <t>Porcelain 12mm</t>
        </is>
      </c>
      <c r="B45" s="4" t="inlineStr">
        <is>
          <t>CARRARA PULIDO</t>
        </is>
      </c>
      <c r="C45" s="4" t="inlineStr">
        <is>
          <t>SPAIN</t>
        </is>
      </c>
      <c r="D45" s="4" t="inlineStr">
        <is>
          <t>3240X1620X12</t>
        </is>
      </c>
      <c r="E45" s="10" t="n">
        <v>41</v>
      </c>
      <c r="F45" s="11" t="n"/>
      <c r="G45" s="5" t="n">
        <v>432</v>
      </c>
      <c r="H45" s="5" t="n">
        <v>650</v>
      </c>
      <c r="I45" s="4" t="inlineStr"/>
      <c r="J45" s="5">
        <f>IF(F45&lt;&gt;"",F45*Assumptions!$B$4,"")</f>
        <v/>
      </c>
      <c r="K45" s="5">
        <f>IF(F45&lt;&gt;"",F45,"")</f>
        <v/>
      </c>
      <c r="L45" s="5">
        <f>IF(G45&lt;&gt;"",G45,F45)</f>
        <v/>
      </c>
      <c r="M45" s="5">
        <f>IF(E45&lt;&gt;"",E45*J45,"")</f>
        <v/>
      </c>
      <c r="N45" s="5">
        <f>IF(E45&lt;&gt;"",E45*K45,"")</f>
        <v/>
      </c>
      <c r="O45" s="5">
        <f>IF(E45&lt;&gt;"",E45*L45,"")</f>
        <v/>
      </c>
    </row>
    <row r="46">
      <c r="A46" s="4" t="inlineStr">
        <is>
          <t>Porcelain 20mm</t>
        </is>
      </c>
      <c r="B46" s="4" t="inlineStr">
        <is>
          <t>CAMOUFLAGE</t>
        </is>
      </c>
      <c r="C46" s="4" t="inlineStr">
        <is>
          <t>SPAIN</t>
        </is>
      </c>
      <c r="D46" s="4" t="inlineStr">
        <is>
          <t>3240X1620X20</t>
        </is>
      </c>
      <c r="E46" s="10" t="n">
        <v>13</v>
      </c>
      <c r="F46" s="11" t="n"/>
      <c r="G46" s="5" t="n">
        <v>494</v>
      </c>
      <c r="H46" s="5" t="n">
        <v>750</v>
      </c>
      <c r="I46" s="4" t="inlineStr"/>
      <c r="J46" s="5">
        <f>IF(F46&lt;&gt;"",F46*Assumptions!$B$4,"")</f>
        <v/>
      </c>
      <c r="K46" s="5">
        <f>IF(F46&lt;&gt;"",F46,"")</f>
        <v/>
      </c>
      <c r="L46" s="5">
        <f>IF(G46&lt;&gt;"",G46,F46)</f>
        <v/>
      </c>
      <c r="M46" s="5">
        <f>IF(E46&lt;&gt;"",E46*J46,"")</f>
        <v/>
      </c>
      <c r="N46" s="5">
        <f>IF(E46&lt;&gt;"",E46*K46,"")</f>
        <v/>
      </c>
      <c r="O46" s="5">
        <f>IF(E46&lt;&gt;"",E46*L46,"")</f>
        <v/>
      </c>
    </row>
    <row r="47">
      <c r="A47" s="4" t="inlineStr">
        <is>
          <t>Porcelain 20mm</t>
        </is>
      </c>
      <c r="B47" s="4" t="inlineStr">
        <is>
          <t>BLUE ROMA</t>
        </is>
      </c>
      <c r="C47" s="4" t="inlineStr">
        <is>
          <t>SPAIN</t>
        </is>
      </c>
      <c r="D47" s="4" t="inlineStr">
        <is>
          <t>3240X1620X20</t>
        </is>
      </c>
      <c r="E47" s="10" t="n">
        <v>14</v>
      </c>
      <c r="F47" s="11" t="n"/>
      <c r="G47" s="5" t="n">
        <v>494</v>
      </c>
      <c r="H47" s="5" t="n">
        <v>750</v>
      </c>
      <c r="I47" s="4" t="inlineStr"/>
      <c r="J47" s="5">
        <f>IF(F47&lt;&gt;"",F47*Assumptions!$B$4,"")</f>
        <v/>
      </c>
      <c r="K47" s="5">
        <f>IF(F47&lt;&gt;"",F47,"")</f>
        <v/>
      </c>
      <c r="L47" s="5">
        <f>IF(G47&lt;&gt;"",G47,F47)</f>
        <v/>
      </c>
      <c r="M47" s="5">
        <f>IF(E47&lt;&gt;"",E47*J47,"")</f>
        <v/>
      </c>
      <c r="N47" s="5">
        <f>IF(E47&lt;&gt;"",E47*K47,"")</f>
        <v/>
      </c>
      <c r="O47" s="5">
        <f>IF(E47&lt;&gt;"",E47*L47,"")</f>
        <v/>
      </c>
    </row>
    <row r="48">
      <c r="A48" s="4" t="inlineStr">
        <is>
          <t>Porcelain 20mm</t>
        </is>
      </c>
      <c r="B48" s="4" t="inlineStr">
        <is>
          <t>NERO ZIMBABWE</t>
        </is>
      </c>
      <c r="C48" s="4" t="inlineStr">
        <is>
          <t>SPAIN</t>
        </is>
      </c>
      <c r="D48" s="4" t="inlineStr">
        <is>
          <t>3240X1620X20</t>
        </is>
      </c>
      <c r="E48" s="10" t="n">
        <v>5</v>
      </c>
      <c r="F48" s="11" t="n"/>
      <c r="G48" s="5" t="n">
        <v>494</v>
      </c>
      <c r="H48" s="5" t="n">
        <v>750</v>
      </c>
      <c r="I48" s="4" t="inlineStr"/>
      <c r="J48" s="5">
        <f>IF(F48&lt;&gt;"",F48*Assumptions!$B$4,"")</f>
        <v/>
      </c>
      <c r="K48" s="5">
        <f>IF(F48&lt;&gt;"",F48,"")</f>
        <v/>
      </c>
      <c r="L48" s="5">
        <f>IF(G48&lt;&gt;"",G48,F48)</f>
        <v/>
      </c>
      <c r="M48" s="5">
        <f>IF(E48&lt;&gt;"",E48*J48,"")</f>
        <v/>
      </c>
      <c r="N48" s="5">
        <f>IF(E48&lt;&gt;"",E48*K48,"")</f>
        <v/>
      </c>
      <c r="O48" s="5">
        <f>IF(E48&lt;&gt;"",E48*L48,"")</f>
        <v/>
      </c>
    </row>
    <row r="49">
      <c r="A49" s="4" t="inlineStr">
        <is>
          <t>Porcelain 20mm</t>
        </is>
      </c>
      <c r="B49" s="4" t="inlineStr">
        <is>
          <t>MACCHIA VECCHIA</t>
        </is>
      </c>
      <c r="C49" s="4" t="inlineStr">
        <is>
          <t>SPAIN</t>
        </is>
      </c>
      <c r="D49" s="4" t="inlineStr">
        <is>
          <t>3240X1620X20</t>
        </is>
      </c>
      <c r="E49" s="10" t="n">
        <v>8</v>
      </c>
      <c r="F49" s="11" t="n"/>
      <c r="G49" s="5" t="n">
        <v>494</v>
      </c>
      <c r="H49" s="5" t="n">
        <v>750</v>
      </c>
      <c r="I49" s="4" t="inlineStr"/>
      <c r="J49" s="5">
        <f>IF(F49&lt;&gt;"",F49*Assumptions!$B$4,"")</f>
        <v/>
      </c>
      <c r="K49" s="5">
        <f>IF(F49&lt;&gt;"",F49,"")</f>
        <v/>
      </c>
      <c r="L49" s="5">
        <f>IF(G49&lt;&gt;"",G49,F49)</f>
        <v/>
      </c>
      <c r="M49" s="5">
        <f>IF(E49&lt;&gt;"",E49*J49,"")</f>
        <v/>
      </c>
      <c r="N49" s="5">
        <f>IF(E49&lt;&gt;"",E49*K49,"")</f>
        <v/>
      </c>
      <c r="O49" s="5">
        <f>IF(E49&lt;&gt;"",E49*L49,"")</f>
        <v/>
      </c>
    </row>
    <row r="50">
      <c r="A50" s="4" t="inlineStr">
        <is>
          <t>Porcelain 20mm</t>
        </is>
      </c>
      <c r="B50" s="4" t="inlineStr">
        <is>
          <t>TAJ MAHAL NAT</t>
        </is>
      </c>
      <c r="C50" s="4" t="inlineStr">
        <is>
          <t>SPAIN</t>
        </is>
      </c>
      <c r="D50" s="4" t="inlineStr">
        <is>
          <t>3240X1620X20</t>
        </is>
      </c>
      <c r="E50" s="10" t="n">
        <v>16</v>
      </c>
      <c r="F50" s="11" t="n"/>
      <c r="G50" s="5" t="n">
        <v>494</v>
      </c>
      <c r="H50" s="5" t="n">
        <v>750</v>
      </c>
      <c r="I50" s="4" t="inlineStr"/>
      <c r="J50" s="5">
        <f>IF(F50&lt;&gt;"",F50*Assumptions!$B$4,"")</f>
        <v/>
      </c>
      <c r="K50" s="5">
        <f>IF(F50&lt;&gt;"",F50,"")</f>
        <v/>
      </c>
      <c r="L50" s="5">
        <f>IF(G50&lt;&gt;"",G50,F50)</f>
        <v/>
      </c>
      <c r="M50" s="5">
        <f>IF(E50&lt;&gt;"",E50*J50,"")</f>
        <v/>
      </c>
      <c r="N50" s="5">
        <f>IF(E50&lt;&gt;"",E50*K50,"")</f>
        <v/>
      </c>
      <c r="O50" s="5">
        <f>IF(E50&lt;&gt;"",E50*L50,"")</f>
        <v/>
      </c>
    </row>
    <row r="51">
      <c r="A51" s="4" t="inlineStr">
        <is>
          <t>Porcelain 20mm</t>
        </is>
      </c>
      <c r="B51" s="4" t="inlineStr">
        <is>
          <t>BIANCO SUPREME</t>
        </is>
      </c>
      <c r="C51" s="4" t="inlineStr">
        <is>
          <t>SPAIN</t>
        </is>
      </c>
      <c r="D51" s="4" t="inlineStr">
        <is>
          <t>3240X1620X20</t>
        </is>
      </c>
      <c r="E51" s="10" t="n">
        <v>5</v>
      </c>
      <c r="F51" s="11" t="n"/>
      <c r="G51" s="5" t="n">
        <v>494</v>
      </c>
      <c r="H51" s="5" t="n">
        <v>750</v>
      </c>
      <c r="I51" s="4" t="inlineStr"/>
      <c r="J51" s="5">
        <f>IF(F51&lt;&gt;"",F51*Assumptions!$B$4,"")</f>
        <v/>
      </c>
      <c r="K51" s="5">
        <f>IF(F51&lt;&gt;"",F51,"")</f>
        <v/>
      </c>
      <c r="L51" s="5">
        <f>IF(G51&lt;&gt;"",G51,F51)</f>
        <v/>
      </c>
      <c r="M51" s="5">
        <f>IF(E51&lt;&gt;"",E51*J51,"")</f>
        <v/>
      </c>
      <c r="N51" s="5">
        <f>IF(E51&lt;&gt;"",E51*K51,"")</f>
        <v/>
      </c>
      <c r="O51" s="5">
        <f>IF(E51&lt;&gt;"",E51*L51,"")</f>
        <v/>
      </c>
    </row>
    <row r="52">
      <c r="A52" s="4" t="inlineStr">
        <is>
          <t>Porcelain 9mm</t>
        </is>
      </c>
      <c r="B52" s="4" t="inlineStr">
        <is>
          <t>ARMANI GREY</t>
        </is>
      </c>
      <c r="C52" s="4" t="inlineStr">
        <is>
          <t>INDIA</t>
        </is>
      </c>
      <c r="D52" s="4" t="inlineStr">
        <is>
          <t>1200X2400X9</t>
        </is>
      </c>
      <c r="E52" s="10" t="n">
        <v>216</v>
      </c>
      <c r="F52" s="11" t="n"/>
      <c r="G52" s="5" t="n">
        <v>62</v>
      </c>
      <c r="H52" s="5" t="n">
        <v>160</v>
      </c>
      <c r="I52" s="4" t="inlineStr"/>
      <c r="J52" s="5">
        <f>IF(F52&lt;&gt;"",F52*Assumptions!$B$4,"")</f>
        <v/>
      </c>
      <c r="K52" s="5">
        <f>IF(F52&lt;&gt;"",F52,"")</f>
        <v/>
      </c>
      <c r="L52" s="5">
        <f>IF(G52&lt;&gt;"",G52,F52)</f>
        <v/>
      </c>
      <c r="M52" s="5">
        <f>IF(E52&lt;&gt;"",E52*J52,"")</f>
        <v/>
      </c>
      <c r="N52" s="5">
        <f>IF(E52&lt;&gt;"",E52*K52,"")</f>
        <v/>
      </c>
      <c r="O52" s="5">
        <f>IF(E52&lt;&gt;"",E52*L52,"")</f>
        <v/>
      </c>
    </row>
    <row r="53">
      <c r="A53" s="4" t="inlineStr">
        <is>
          <t>Porcelain 9mm</t>
        </is>
      </c>
      <c r="B53" s="4" t="inlineStr">
        <is>
          <t>CALCUTTA BORGHINI</t>
        </is>
      </c>
      <c r="C53" s="4" t="inlineStr">
        <is>
          <t>INDIA</t>
        </is>
      </c>
      <c r="D53" s="4" t="inlineStr">
        <is>
          <t>1200X2400X9</t>
        </is>
      </c>
      <c r="E53" s="10" t="n">
        <v>216</v>
      </c>
      <c r="F53" s="11" t="n"/>
      <c r="G53" s="5" t="n">
        <v>62</v>
      </c>
      <c r="H53" s="5" t="n">
        <v>160</v>
      </c>
      <c r="I53" s="4" t="inlineStr"/>
      <c r="J53" s="5">
        <f>IF(F53&lt;&gt;"",F53*Assumptions!$B$4,"")</f>
        <v/>
      </c>
      <c r="K53" s="5">
        <f>IF(F53&lt;&gt;"",F53,"")</f>
        <v/>
      </c>
      <c r="L53" s="5">
        <f>IF(G53&lt;&gt;"",G53,F53)</f>
        <v/>
      </c>
      <c r="M53" s="5">
        <f>IF(E53&lt;&gt;"",E53*J53,"")</f>
        <v/>
      </c>
      <c r="N53" s="5">
        <f>IF(E53&lt;&gt;"",E53*K53,"")</f>
        <v/>
      </c>
      <c r="O53" s="5">
        <f>IF(E53&lt;&gt;"",E53*L53,"")</f>
        <v/>
      </c>
    </row>
    <row r="54">
      <c r="A54" s="4" t="inlineStr">
        <is>
          <t>Quartz 30mm</t>
        </is>
      </c>
      <c r="B54" s="4" t="inlineStr">
        <is>
          <t>8064 W</t>
        </is>
      </c>
      <c r="C54" s="4" t="inlineStr">
        <is>
          <t>VIETNAM</t>
        </is>
      </c>
      <c r="D54" s="4" t="inlineStr">
        <is>
          <t>3200X1600X30</t>
        </is>
      </c>
      <c r="E54" s="10" t="n">
        <v>20</v>
      </c>
      <c r="F54" s="5" t="n">
        <v>481.28</v>
      </c>
      <c r="G54" s="5" t="n">
        <v>589</v>
      </c>
      <c r="H54" s="5" t="n">
        <v>550</v>
      </c>
      <c r="I54" s="4" t="inlineStr">
        <is>
          <t>Purchase cost from BZ Zoho item export</t>
        </is>
      </c>
      <c r="J54" s="5">
        <f>IF(F54&lt;&gt;"",F54*Assumptions!$B$4,"")</f>
        <v/>
      </c>
      <c r="K54" s="5">
        <f>IF(F54&lt;&gt;"",F54,"")</f>
        <v/>
      </c>
      <c r="L54" s="5">
        <f>IF(G54&lt;&gt;"",G54,F54)</f>
        <v/>
      </c>
      <c r="M54" s="5">
        <f>IF(E54&lt;&gt;"",E54*J54,"")</f>
        <v/>
      </c>
      <c r="N54" s="5">
        <f>IF(E54&lt;&gt;"",E54*K54,"")</f>
        <v/>
      </c>
      <c r="O54" s="5">
        <f>IF(E54&lt;&gt;"",E54*L54,"")</f>
        <v/>
      </c>
    </row>
    <row r="55">
      <c r="A55" s="4" t="inlineStr">
        <is>
          <t>Quartz 30mm</t>
        </is>
      </c>
      <c r="B55" s="4" t="inlineStr">
        <is>
          <t>8038 W</t>
        </is>
      </c>
      <c r="C55" s="4" t="inlineStr">
        <is>
          <t>VIETNAM</t>
        </is>
      </c>
      <c r="D55" s="4" t="inlineStr">
        <is>
          <t>3200X1600X30</t>
        </is>
      </c>
      <c r="E55" s="10" t="n">
        <v>20</v>
      </c>
      <c r="F55" s="5" t="n">
        <v>481.28</v>
      </c>
      <c r="G55" s="5" t="n">
        <v>589</v>
      </c>
      <c r="H55" s="5" t="n">
        <v>550</v>
      </c>
      <c r="I55" s="4" t="inlineStr"/>
      <c r="J55" s="5">
        <f>IF(F55&lt;&gt;"",F55*Assumptions!$B$4,"")</f>
        <v/>
      </c>
      <c r="K55" s="5">
        <f>IF(F55&lt;&gt;"",F55,"")</f>
        <v/>
      </c>
      <c r="L55" s="5">
        <f>IF(G55&lt;&gt;"",G55,F55)</f>
        <v/>
      </c>
      <c r="M55" s="5">
        <f>IF(E55&lt;&gt;"",E55*J55,"")</f>
        <v/>
      </c>
      <c r="N55" s="5">
        <f>IF(E55&lt;&gt;"",E55*K55,"")</f>
        <v/>
      </c>
      <c r="O55" s="5">
        <f>IF(E55&lt;&gt;"",E55*L55,"")</f>
        <v/>
      </c>
    </row>
    <row r="56">
      <c r="A56" s="4" t="inlineStr">
        <is>
          <t>Quartz 30mm</t>
        </is>
      </c>
      <c r="B56" s="4" t="inlineStr">
        <is>
          <t>8098 W</t>
        </is>
      </c>
      <c r="C56" s="4" t="inlineStr">
        <is>
          <t>VIETNAM</t>
        </is>
      </c>
      <c r="D56" s="4" t="inlineStr">
        <is>
          <t>3200X1600X30</t>
        </is>
      </c>
      <c r="E56" s="10" t="n">
        <v>13</v>
      </c>
      <c r="F56" s="5" t="n">
        <v>481.28</v>
      </c>
      <c r="G56" s="5" t="n">
        <v>589</v>
      </c>
      <c r="H56" s="5" t="n">
        <v>550</v>
      </c>
      <c r="I56" s="4" t="inlineStr"/>
      <c r="J56" s="5">
        <f>IF(F56&lt;&gt;"",F56*Assumptions!$B$4,"")</f>
        <v/>
      </c>
      <c r="K56" s="5">
        <f>IF(F56&lt;&gt;"",F56,"")</f>
        <v/>
      </c>
      <c r="L56" s="5">
        <f>IF(G56&lt;&gt;"",G56,F56)</f>
        <v/>
      </c>
      <c r="M56" s="5">
        <f>IF(E56&lt;&gt;"",E56*J56,"")</f>
        <v/>
      </c>
      <c r="N56" s="5">
        <f>IF(E56&lt;&gt;"",E56*K56,"")</f>
        <v/>
      </c>
      <c r="O56" s="5">
        <f>IF(E56&lt;&gt;"",E56*L56,"")</f>
        <v/>
      </c>
    </row>
    <row r="57">
      <c r="A57" s="4" t="inlineStr">
        <is>
          <t>Quartz 30mm</t>
        </is>
      </c>
      <c r="B57" s="4" t="inlineStr">
        <is>
          <t>9030 W</t>
        </is>
      </c>
      <c r="C57" s="4" t="inlineStr">
        <is>
          <t>VIETNAM</t>
        </is>
      </c>
      <c r="D57" s="4" t="inlineStr">
        <is>
          <t>3200X1600X30</t>
        </is>
      </c>
      <c r="E57" s="10" t="n">
        <v>5</v>
      </c>
      <c r="F57" s="5" t="n">
        <v>481.28</v>
      </c>
      <c r="G57" s="5" t="n">
        <v>589</v>
      </c>
      <c r="H57" s="5" t="n">
        <v>550</v>
      </c>
      <c r="I57" s="4" t="inlineStr"/>
      <c r="J57" s="5">
        <f>IF(F57&lt;&gt;"",F57*Assumptions!$B$4,"")</f>
        <v/>
      </c>
      <c r="K57" s="5">
        <f>IF(F57&lt;&gt;"",F57,"")</f>
        <v/>
      </c>
      <c r="L57" s="5">
        <f>IF(G57&lt;&gt;"",G57,F57)</f>
        <v/>
      </c>
      <c r="M57" s="5">
        <f>IF(E57&lt;&gt;"",E57*J57,"")</f>
        <v/>
      </c>
      <c r="N57" s="5">
        <f>IF(E57&lt;&gt;"",E57*K57,"")</f>
        <v/>
      </c>
      <c r="O57" s="5">
        <f>IF(E57&lt;&gt;"",E57*L57,"")</f>
        <v/>
      </c>
    </row>
    <row r="58">
      <c r="A58" s="4" t="inlineStr">
        <is>
          <t>Quartz 30mm</t>
        </is>
      </c>
      <c r="B58" s="4" t="inlineStr">
        <is>
          <t>8039 W</t>
        </is>
      </c>
      <c r="C58" s="4" t="inlineStr">
        <is>
          <t>VIETNAM</t>
        </is>
      </c>
      <c r="D58" s="4" t="inlineStr">
        <is>
          <t>3200X1600X30</t>
        </is>
      </c>
      <c r="E58" s="10" t="n">
        <v>20</v>
      </c>
      <c r="F58" s="5" t="n">
        <v>481.28</v>
      </c>
      <c r="G58" s="5" t="n">
        <v>589</v>
      </c>
      <c r="H58" s="5" t="n">
        <v>550</v>
      </c>
      <c r="I58" s="4" t="inlineStr"/>
      <c r="J58" s="5">
        <f>IF(F58&lt;&gt;"",F58*Assumptions!$B$4,"")</f>
        <v/>
      </c>
      <c r="K58" s="5">
        <f>IF(F58&lt;&gt;"",F58,"")</f>
        <v/>
      </c>
      <c r="L58" s="5">
        <f>IF(G58&lt;&gt;"",G58,F58)</f>
        <v/>
      </c>
      <c r="M58" s="5">
        <f>IF(E58&lt;&gt;"",E58*J58,"")</f>
        <v/>
      </c>
      <c r="N58" s="5">
        <f>IF(E58&lt;&gt;"",E58*K58,"")</f>
        <v/>
      </c>
      <c r="O58" s="5">
        <f>IF(E58&lt;&gt;"",E58*L58,"")</f>
        <v/>
      </c>
    </row>
    <row r="59">
      <c r="A59" s="4" t="inlineStr">
        <is>
          <t>Quartz 30mm</t>
        </is>
      </c>
      <c r="B59" s="4" t="inlineStr">
        <is>
          <t>8126 W</t>
        </is>
      </c>
      <c r="C59" s="4" t="inlineStr">
        <is>
          <t>VIETNAM</t>
        </is>
      </c>
      <c r="D59" s="4" t="inlineStr">
        <is>
          <t>3200X1600X30</t>
        </is>
      </c>
      <c r="E59" s="10" t="n">
        <v>10</v>
      </c>
      <c r="F59" s="5" t="n">
        <v>481.28</v>
      </c>
      <c r="G59" s="5" t="n">
        <v>589</v>
      </c>
      <c r="H59" s="5" t="n">
        <v>550</v>
      </c>
      <c r="I59" s="4" t="inlineStr"/>
      <c r="J59" s="5">
        <f>IF(F59&lt;&gt;"",F59*Assumptions!$B$4,"")</f>
        <v/>
      </c>
      <c r="K59" s="5">
        <f>IF(F59&lt;&gt;"",F59,"")</f>
        <v/>
      </c>
      <c r="L59" s="5">
        <f>IF(G59&lt;&gt;"",G59,F59)</f>
        <v/>
      </c>
      <c r="M59" s="5">
        <f>IF(E59&lt;&gt;"",E59*J59,"")</f>
        <v/>
      </c>
      <c r="N59" s="5">
        <f>IF(E59&lt;&gt;"",E59*K59,"")</f>
        <v/>
      </c>
      <c r="O59" s="5">
        <f>IF(E59&lt;&gt;"",E59*L59,"")</f>
        <v/>
      </c>
    </row>
    <row r="60">
      <c r="A60" s="4" t="inlineStr">
        <is>
          <t>Quartz 30mm</t>
        </is>
      </c>
      <c r="B60" s="4" t="inlineStr">
        <is>
          <t>KA9708</t>
        </is>
      </c>
      <c r="C60" s="4" t="inlineStr">
        <is>
          <t>VIETNAM</t>
        </is>
      </c>
      <c r="D60" s="4" t="inlineStr">
        <is>
          <t>3200X1600X30</t>
        </is>
      </c>
      <c r="E60" s="10" t="n">
        <v>35</v>
      </c>
      <c r="F60" s="5" t="n">
        <v>481.28</v>
      </c>
      <c r="G60" s="5" t="n">
        <v>589</v>
      </c>
      <c r="H60" s="5" t="n">
        <v>550</v>
      </c>
      <c r="I60" s="4" t="inlineStr"/>
      <c r="J60" s="5">
        <f>IF(F60&lt;&gt;"",F60*Assumptions!$B$4,"")</f>
        <v/>
      </c>
      <c r="K60" s="5">
        <f>IF(F60&lt;&gt;"",F60,"")</f>
        <v/>
      </c>
      <c r="L60" s="5">
        <f>IF(G60&lt;&gt;"",G60,F60)</f>
        <v/>
      </c>
      <c r="M60" s="5">
        <f>IF(E60&lt;&gt;"",E60*J60,"")</f>
        <v/>
      </c>
      <c r="N60" s="5">
        <f>IF(E60&lt;&gt;"",E60*K60,"")</f>
        <v/>
      </c>
      <c r="O60" s="5">
        <f>IF(E60&lt;&gt;"",E60*L60,"")</f>
        <v/>
      </c>
    </row>
    <row r="61">
      <c r="A61" s="4" t="inlineStr">
        <is>
          <t>Quartz 30mm</t>
        </is>
      </c>
      <c r="B61" s="4" t="inlineStr">
        <is>
          <t>KA9705</t>
        </is>
      </c>
      <c r="C61" s="4" t="inlineStr">
        <is>
          <t>VIETNAM</t>
        </is>
      </c>
      <c r="D61" s="4" t="inlineStr">
        <is>
          <t>3200X1600X30</t>
        </is>
      </c>
      <c r="E61" s="10" t="n">
        <v>34</v>
      </c>
      <c r="F61" s="5" t="n">
        <v>481.28</v>
      </c>
      <c r="G61" s="5" t="n">
        <v>589</v>
      </c>
      <c r="H61" s="5" t="n">
        <v>550</v>
      </c>
      <c r="I61" s="4" t="inlineStr"/>
      <c r="J61" s="5">
        <f>IF(F61&lt;&gt;"",F61*Assumptions!$B$4,"")</f>
        <v/>
      </c>
      <c r="K61" s="5">
        <f>IF(F61&lt;&gt;"",F61,"")</f>
        <v/>
      </c>
      <c r="L61" s="5">
        <f>IF(G61&lt;&gt;"",G61,F61)</f>
        <v/>
      </c>
      <c r="M61" s="5">
        <f>IF(E61&lt;&gt;"",E61*J61,"")</f>
        <v/>
      </c>
      <c r="N61" s="5">
        <f>IF(E61&lt;&gt;"",E61*K61,"")</f>
        <v/>
      </c>
      <c r="O61" s="5">
        <f>IF(E61&lt;&gt;"",E61*L61,"")</f>
        <v/>
      </c>
    </row>
    <row r="62">
      <c r="A62" s="4" t="inlineStr">
        <is>
          <t>Quartz 30mm</t>
        </is>
      </c>
      <c r="B62" s="4" t="inlineStr">
        <is>
          <t>9020 W</t>
        </is>
      </c>
      <c r="C62" s="4" t="inlineStr">
        <is>
          <t>VIETNAM</t>
        </is>
      </c>
      <c r="D62" s="4" t="inlineStr">
        <is>
          <t>3200X1600X30</t>
        </is>
      </c>
      <c r="E62" s="10" t="n">
        <v>19</v>
      </c>
      <c r="F62" s="5" t="n">
        <v>481.28</v>
      </c>
      <c r="G62" s="5" t="n">
        <v>589</v>
      </c>
      <c r="H62" s="5" t="n">
        <v>550</v>
      </c>
      <c r="I62" s="4" t="inlineStr"/>
      <c r="J62" s="5">
        <f>IF(F62&lt;&gt;"",F62*Assumptions!$B$4,"")</f>
        <v/>
      </c>
      <c r="K62" s="5">
        <f>IF(F62&lt;&gt;"",F62,"")</f>
        <v/>
      </c>
      <c r="L62" s="5">
        <f>IF(G62&lt;&gt;"",G62,F62)</f>
        <v/>
      </c>
      <c r="M62" s="5">
        <f>IF(E62&lt;&gt;"",E62*J62,"")</f>
        <v/>
      </c>
      <c r="N62" s="5">
        <f>IF(E62&lt;&gt;"",E62*K62,"")</f>
        <v/>
      </c>
      <c r="O62" s="5">
        <f>IF(E62&lt;&gt;"",E62*L62,"")</f>
        <v/>
      </c>
    </row>
    <row r="63">
      <c r="A63" s="4" t="inlineStr">
        <is>
          <t>Quartz 30mm</t>
        </is>
      </c>
      <c r="B63" s="4" t="inlineStr">
        <is>
          <t>8083 W</t>
        </is>
      </c>
      <c r="C63" s="4" t="inlineStr">
        <is>
          <t>VIETNAM</t>
        </is>
      </c>
      <c r="D63" s="4" t="inlineStr">
        <is>
          <t>3200X1600X30</t>
        </is>
      </c>
      <c r="E63" s="10" t="n">
        <v>16</v>
      </c>
      <c r="F63" s="5" t="n">
        <v>481.28</v>
      </c>
      <c r="G63" s="5" t="n">
        <v>589</v>
      </c>
      <c r="H63" s="5" t="n">
        <v>550</v>
      </c>
      <c r="I63" s="4" t="inlineStr"/>
      <c r="J63" s="5">
        <f>IF(F63&lt;&gt;"",F63*Assumptions!$B$4,"")</f>
        <v/>
      </c>
      <c r="K63" s="5">
        <f>IF(F63&lt;&gt;"",F63,"")</f>
        <v/>
      </c>
      <c r="L63" s="5">
        <f>IF(G63&lt;&gt;"",G63,F63)</f>
        <v/>
      </c>
      <c r="M63" s="5">
        <f>IF(E63&lt;&gt;"",E63*J63,"")</f>
        <v/>
      </c>
      <c r="N63" s="5">
        <f>IF(E63&lt;&gt;"",E63*K63,"")</f>
        <v/>
      </c>
      <c r="O63" s="5">
        <f>IF(E63&lt;&gt;"",E63*L63,"")</f>
        <v/>
      </c>
    </row>
    <row r="64">
      <c r="A64" s="4" t="inlineStr">
        <is>
          <t>Quartz 30mm</t>
        </is>
      </c>
      <c r="B64" s="4" t="inlineStr">
        <is>
          <t>8022 W</t>
        </is>
      </c>
      <c r="C64" s="4" t="inlineStr">
        <is>
          <t>VIETNAM</t>
        </is>
      </c>
      <c r="D64" s="4" t="inlineStr">
        <is>
          <t>3200X1600X30</t>
        </is>
      </c>
      <c r="E64" s="10" t="n">
        <v>14</v>
      </c>
      <c r="F64" s="5" t="n">
        <v>481.28</v>
      </c>
      <c r="G64" s="5" t="n">
        <v>589</v>
      </c>
      <c r="H64" s="5" t="n">
        <v>550</v>
      </c>
      <c r="I64" s="4" t="inlineStr"/>
      <c r="J64" s="5">
        <f>IF(F64&lt;&gt;"",F64*Assumptions!$B$4,"")</f>
        <v/>
      </c>
      <c r="K64" s="5">
        <f>IF(F64&lt;&gt;"",F64,"")</f>
        <v/>
      </c>
      <c r="L64" s="5">
        <f>IF(G64&lt;&gt;"",G64,F64)</f>
        <v/>
      </c>
      <c r="M64" s="5">
        <f>IF(E64&lt;&gt;"",E64*J64,"")</f>
        <v/>
      </c>
      <c r="N64" s="5">
        <f>IF(E64&lt;&gt;"",E64*K64,"")</f>
        <v/>
      </c>
      <c r="O64" s="5">
        <f>IF(E64&lt;&gt;"",E64*L64,"")</f>
        <v/>
      </c>
    </row>
    <row r="65">
      <c r="A65" s="4" t="inlineStr">
        <is>
          <t>Quartz 30mm</t>
        </is>
      </c>
      <c r="B65" s="4" t="inlineStr">
        <is>
          <t>KVA9928</t>
        </is>
      </c>
      <c r="C65" s="4" t="inlineStr">
        <is>
          <t>VIETNAM</t>
        </is>
      </c>
      <c r="D65" s="4" t="inlineStr">
        <is>
          <t>3200X1600X30</t>
        </is>
      </c>
      <c r="E65" s="10" t="n">
        <v>1</v>
      </c>
      <c r="F65" s="5" t="n">
        <v>481.28</v>
      </c>
      <c r="G65" s="5" t="n">
        <v>589</v>
      </c>
      <c r="H65" s="5" t="n">
        <v>550</v>
      </c>
      <c r="I65" s="4" t="inlineStr"/>
      <c r="J65" s="5">
        <f>IF(F65&lt;&gt;"",F65*Assumptions!$B$4,"")</f>
        <v/>
      </c>
      <c r="K65" s="5">
        <f>IF(F65&lt;&gt;"",F65,"")</f>
        <v/>
      </c>
      <c r="L65" s="5">
        <f>IF(G65&lt;&gt;"",G65,F65)</f>
        <v/>
      </c>
      <c r="M65" s="5">
        <f>IF(E65&lt;&gt;"",E65*J65,"")</f>
        <v/>
      </c>
      <c r="N65" s="5">
        <f>IF(E65&lt;&gt;"",E65*K65,"")</f>
        <v/>
      </c>
      <c r="O65" s="5">
        <f>IF(E65&lt;&gt;"",E65*L65,"")</f>
        <v/>
      </c>
    </row>
    <row r="66">
      <c r="A66" s="4" t="inlineStr">
        <is>
          <t>Porcelain 5mm</t>
        </is>
      </c>
      <c r="B66" s="4" t="inlineStr">
        <is>
          <t>SUPER WHITE GLOSSY</t>
        </is>
      </c>
      <c r="C66" s="4" t="inlineStr">
        <is>
          <t>ITALY</t>
        </is>
      </c>
      <c r="D66" s="4" t="inlineStr">
        <is>
          <t>2780X1200X5</t>
        </is>
      </c>
      <c r="E66" s="10" t="n">
        <v>44</v>
      </c>
      <c r="F66" s="11" t="n"/>
      <c r="G66" s="5" t="n">
        <v>164</v>
      </c>
      <c r="H66" s="5" t="n">
        <v>290</v>
      </c>
      <c r="I66" s="4" t="inlineStr"/>
      <c r="J66" s="5">
        <f>IF(F66&lt;&gt;"",F66*Assumptions!$B$4,"")</f>
        <v/>
      </c>
      <c r="K66" s="5">
        <f>IF(F66&lt;&gt;"",F66,"")</f>
        <v/>
      </c>
      <c r="L66" s="5">
        <f>IF(G66&lt;&gt;"",G66,F66)</f>
        <v/>
      </c>
      <c r="M66" s="5">
        <f>IF(E66&lt;&gt;"",E66*J66,"")</f>
        <v/>
      </c>
      <c r="N66" s="5">
        <f>IF(E66&lt;&gt;"",E66*K66,"")</f>
        <v/>
      </c>
      <c r="O66" s="5">
        <f>IF(E66&lt;&gt;"",E66*L66,"")</f>
        <v/>
      </c>
    </row>
    <row r="67">
      <c r="A67" s="4" t="inlineStr">
        <is>
          <t>Porcelain 5mm</t>
        </is>
      </c>
      <c r="B67" s="4" t="inlineStr">
        <is>
          <t>TAJ MAHAL GLOSSY</t>
        </is>
      </c>
      <c r="C67" s="4" t="inlineStr">
        <is>
          <t>ITALY</t>
        </is>
      </c>
      <c r="D67" s="4" t="inlineStr">
        <is>
          <t>2780X1200X5</t>
        </is>
      </c>
      <c r="E67" s="10" t="n">
        <v>36</v>
      </c>
      <c r="F67" s="11" t="n"/>
      <c r="G67" s="5" t="n">
        <v>164</v>
      </c>
      <c r="H67" s="5" t="n">
        <v>290</v>
      </c>
      <c r="I67" s="4" t="inlineStr"/>
      <c r="J67" s="5">
        <f>IF(F67&lt;&gt;"",F67*Assumptions!$B$4,"")</f>
        <v/>
      </c>
      <c r="K67" s="5">
        <f>IF(F67&lt;&gt;"",F67,"")</f>
        <v/>
      </c>
      <c r="L67" s="5">
        <f>IF(G67&lt;&gt;"",G67,F67)</f>
        <v/>
      </c>
      <c r="M67" s="5">
        <f>IF(E67&lt;&gt;"",E67*J67,"")</f>
        <v/>
      </c>
      <c r="N67" s="5">
        <f>IF(E67&lt;&gt;"",E67*K67,"")</f>
        <v/>
      </c>
      <c r="O67" s="5">
        <f>IF(E67&lt;&gt;"",E67*L67,"")</f>
        <v/>
      </c>
    </row>
    <row r="68">
      <c r="A68" s="4" t="inlineStr">
        <is>
          <t>Porcelain 5mm</t>
        </is>
      </c>
      <c r="B68" s="4" t="inlineStr">
        <is>
          <t>CAPRAIA GLOSSY</t>
        </is>
      </c>
      <c r="C68" s="4" t="inlineStr">
        <is>
          <t>ITALY</t>
        </is>
      </c>
      <c r="D68" s="4" t="inlineStr">
        <is>
          <t>2780X1200X5</t>
        </is>
      </c>
      <c r="E68" s="10" t="n">
        <v>32</v>
      </c>
      <c r="F68" s="11" t="n"/>
      <c r="G68" s="5" t="n">
        <v>164</v>
      </c>
      <c r="H68" s="5" t="n">
        <v>290</v>
      </c>
      <c r="I68" s="4" t="inlineStr"/>
      <c r="J68" s="5">
        <f>IF(F68&lt;&gt;"",F68*Assumptions!$B$4,"")</f>
        <v/>
      </c>
      <c r="K68" s="5">
        <f>IF(F68&lt;&gt;"",F68,"")</f>
        <v/>
      </c>
      <c r="L68" s="5">
        <f>IF(G68&lt;&gt;"",G68,F68)</f>
        <v/>
      </c>
      <c r="M68" s="5">
        <f>IF(E68&lt;&gt;"",E68*J68,"")</f>
        <v/>
      </c>
      <c r="N68" s="5">
        <f>IF(E68&lt;&gt;"",E68*K68,"")</f>
        <v/>
      </c>
      <c r="O68" s="5">
        <f>IF(E68&lt;&gt;"",E68*L68,"")</f>
        <v/>
      </c>
    </row>
    <row r="69">
      <c r="A69" s="4" t="inlineStr">
        <is>
          <t>Porcelain 5mm</t>
        </is>
      </c>
      <c r="B69" s="4" t="inlineStr">
        <is>
          <t>CAL MACCHIA GLOSSY</t>
        </is>
      </c>
      <c r="C69" s="4" t="inlineStr">
        <is>
          <t>ITALY</t>
        </is>
      </c>
      <c r="D69" s="4" t="inlineStr">
        <is>
          <t>2780X1200X5</t>
        </is>
      </c>
      <c r="E69" s="10" t="n">
        <v>32</v>
      </c>
      <c r="F69" s="11" t="n"/>
      <c r="G69" s="5" t="n">
        <v>164</v>
      </c>
      <c r="H69" s="5" t="n">
        <v>290</v>
      </c>
      <c r="I69" s="4" t="inlineStr"/>
      <c r="J69" s="5">
        <f>IF(F69&lt;&gt;"",F69*Assumptions!$B$4,"")</f>
        <v/>
      </c>
      <c r="K69" s="5">
        <f>IF(F69&lt;&gt;"",F69,"")</f>
        <v/>
      </c>
      <c r="L69" s="5">
        <f>IF(G69&lt;&gt;"",G69,F69)</f>
        <v/>
      </c>
      <c r="M69" s="5">
        <f>IF(E69&lt;&gt;"",E69*J69,"")</f>
        <v/>
      </c>
      <c r="N69" s="5">
        <f>IF(E69&lt;&gt;"",E69*K69,"")</f>
        <v/>
      </c>
      <c r="O69" s="5">
        <f>IF(E69&lt;&gt;"",E69*L69,"")</f>
        <v/>
      </c>
    </row>
    <row r="70">
      <c r="A70" s="4" t="inlineStr">
        <is>
          <t>Porcelain 5mm</t>
        </is>
      </c>
      <c r="B70" s="4" t="inlineStr">
        <is>
          <t>STATUARIO GLOSSY</t>
        </is>
      </c>
      <c r="C70" s="4" t="inlineStr">
        <is>
          <t>ITALY</t>
        </is>
      </c>
      <c r="D70" s="4" t="inlineStr">
        <is>
          <t>2780X1200X5</t>
        </is>
      </c>
      <c r="E70" s="10" t="n">
        <v>37</v>
      </c>
      <c r="F70" s="11" t="n"/>
      <c r="G70" s="5" t="n">
        <v>164</v>
      </c>
      <c r="H70" s="5" t="n">
        <v>290</v>
      </c>
      <c r="I70" s="4" t="inlineStr"/>
      <c r="J70" s="5">
        <f>IF(F70&lt;&gt;"",F70*Assumptions!$B$4,"")</f>
        <v/>
      </c>
      <c r="K70" s="5">
        <f>IF(F70&lt;&gt;"",F70,"")</f>
        <v/>
      </c>
      <c r="L70" s="5">
        <f>IF(G70&lt;&gt;"",G70,F70)</f>
        <v/>
      </c>
      <c r="M70" s="5">
        <f>IF(E70&lt;&gt;"",E70*J70,"")</f>
        <v/>
      </c>
      <c r="N70" s="5">
        <f>IF(E70&lt;&gt;"",E70*K70,"")</f>
        <v/>
      </c>
      <c r="O70" s="5">
        <f>IF(E70&lt;&gt;"",E70*L70,"")</f>
        <v/>
      </c>
    </row>
    <row r="71">
      <c r="A71" s="4" t="inlineStr">
        <is>
          <t>Porcelain 5mm</t>
        </is>
      </c>
      <c r="B71" s="4" t="inlineStr">
        <is>
          <t>CAPRAIA NAT</t>
        </is>
      </c>
      <c r="C71" s="4" t="inlineStr">
        <is>
          <t>ITALY</t>
        </is>
      </c>
      <c r="D71" s="4" t="inlineStr">
        <is>
          <t>2780X1200X5</t>
        </is>
      </c>
      <c r="E71" s="10" t="n">
        <v>44</v>
      </c>
      <c r="F71" s="11" t="n"/>
      <c r="G71" s="5" t="n">
        <v>164</v>
      </c>
      <c r="H71" s="5" t="n">
        <v>290</v>
      </c>
      <c r="I71" s="4" t="inlineStr"/>
      <c r="J71" s="5">
        <f>IF(F71&lt;&gt;"",F71*Assumptions!$B$4,"")</f>
        <v/>
      </c>
      <c r="K71" s="5">
        <f>IF(F71&lt;&gt;"",F71,"")</f>
        <v/>
      </c>
      <c r="L71" s="5">
        <f>IF(G71&lt;&gt;"",G71,F71)</f>
        <v/>
      </c>
      <c r="M71" s="5">
        <f>IF(E71&lt;&gt;"",E71*J71,"")</f>
        <v/>
      </c>
      <c r="N71" s="5">
        <f>IF(E71&lt;&gt;"",E71*K71,"")</f>
        <v/>
      </c>
      <c r="O71" s="5">
        <f>IF(E71&lt;&gt;"",E71*L71,"")</f>
        <v/>
      </c>
    </row>
    <row r="72">
      <c r="A72" s="4" t="inlineStr">
        <is>
          <t>Porcelain 5mm</t>
        </is>
      </c>
      <c r="B72" s="4" t="inlineStr">
        <is>
          <t>FIO DI BO GLOSSY</t>
        </is>
      </c>
      <c r="C72" s="4" t="inlineStr">
        <is>
          <t>ITALY</t>
        </is>
      </c>
      <c r="D72" s="4" t="inlineStr">
        <is>
          <t>2780X1200X5</t>
        </is>
      </c>
      <c r="E72" s="10" t="n">
        <v>44</v>
      </c>
      <c r="F72" s="11" t="n"/>
      <c r="G72" s="5" t="n">
        <v>164</v>
      </c>
      <c r="H72" s="5" t="n">
        <v>290</v>
      </c>
      <c r="I72" s="4" t="inlineStr"/>
      <c r="J72" s="5">
        <f>IF(F72&lt;&gt;"",F72*Assumptions!$B$4,"")</f>
        <v/>
      </c>
      <c r="K72" s="5">
        <f>IF(F72&lt;&gt;"",F72,"")</f>
        <v/>
      </c>
      <c r="L72" s="5">
        <f>IF(G72&lt;&gt;"",G72,F72)</f>
        <v/>
      </c>
      <c r="M72" s="5">
        <f>IF(E72&lt;&gt;"",E72*J72,"")</f>
        <v/>
      </c>
      <c r="N72" s="5">
        <f>IF(E72&lt;&gt;"",E72*K72,"")</f>
        <v/>
      </c>
      <c r="O72" s="5">
        <f>IF(E72&lt;&gt;"",E72*L72,"")</f>
        <v/>
      </c>
    </row>
    <row r="73">
      <c r="A73" s="4" t="inlineStr">
        <is>
          <t>Porcelain 5mm</t>
        </is>
      </c>
      <c r="B73" s="4" t="inlineStr">
        <is>
          <t>CAL LIGHT HAN RET</t>
        </is>
      </c>
      <c r="C73" s="4" t="inlineStr">
        <is>
          <t>ITALY</t>
        </is>
      </c>
      <c r="D73" s="4" t="inlineStr">
        <is>
          <t>2780X1200X5</t>
        </is>
      </c>
      <c r="E73" s="10" t="n">
        <v>44</v>
      </c>
      <c r="F73" s="11" t="n"/>
      <c r="G73" s="5" t="n">
        <v>164</v>
      </c>
      <c r="H73" s="5" t="n">
        <v>290</v>
      </c>
      <c r="I73" s="4" t="inlineStr"/>
      <c r="J73" s="5">
        <f>IF(F73&lt;&gt;"",F73*Assumptions!$B$4,"")</f>
        <v/>
      </c>
      <c r="K73" s="5">
        <f>IF(F73&lt;&gt;"",F73,"")</f>
        <v/>
      </c>
      <c r="L73" s="5">
        <f>IF(G73&lt;&gt;"",G73,F73)</f>
        <v/>
      </c>
      <c r="M73" s="5">
        <f>IF(E73&lt;&gt;"",E73*J73,"")</f>
        <v/>
      </c>
      <c r="N73" s="5">
        <f>IF(E73&lt;&gt;"",E73*K73,"")</f>
        <v/>
      </c>
      <c r="O73" s="5">
        <f>IF(E73&lt;&gt;"",E73*L73,"")</f>
        <v/>
      </c>
    </row>
    <row r="74">
      <c r="A74" s="4" t="inlineStr">
        <is>
          <t>Porcelain 5mm</t>
        </is>
      </c>
      <c r="B74" s="4" t="inlineStr">
        <is>
          <t>CALACATA WHITE GLOSSY</t>
        </is>
      </c>
      <c r="C74" s="4" t="inlineStr">
        <is>
          <t>ITALY</t>
        </is>
      </c>
      <c r="D74" s="4" t="inlineStr">
        <is>
          <t>2780X1200X5</t>
        </is>
      </c>
      <c r="E74" s="10" t="n">
        <v>44</v>
      </c>
      <c r="F74" s="11" t="n"/>
      <c r="G74" s="5" t="n">
        <v>164</v>
      </c>
      <c r="H74" s="5" t="n">
        <v>290</v>
      </c>
      <c r="I74" s="4" t="inlineStr"/>
      <c r="J74" s="5">
        <f>IF(F74&lt;&gt;"",F74*Assumptions!$B$4,"")</f>
        <v/>
      </c>
      <c r="K74" s="5">
        <f>IF(F74&lt;&gt;"",F74,"")</f>
        <v/>
      </c>
      <c r="L74" s="5">
        <f>IF(G74&lt;&gt;"",G74,F74)</f>
        <v/>
      </c>
      <c r="M74" s="5">
        <f>IF(E74&lt;&gt;"",E74*J74,"")</f>
        <v/>
      </c>
      <c r="N74" s="5">
        <f>IF(E74&lt;&gt;"",E74*K74,"")</f>
        <v/>
      </c>
      <c r="O74" s="5">
        <f>IF(E74&lt;&gt;"",E74*L74,"")</f>
        <v/>
      </c>
    </row>
    <row r="75">
      <c r="A75" s="4" t="inlineStr">
        <is>
          <t>Porcelain 5mm</t>
        </is>
      </c>
      <c r="B75" s="4" t="inlineStr">
        <is>
          <t>CAL LIGHT GLOSSY</t>
        </is>
      </c>
      <c r="C75" s="4" t="inlineStr">
        <is>
          <t>ITALY</t>
        </is>
      </c>
      <c r="D75" s="4" t="inlineStr">
        <is>
          <t>2780X1200X5</t>
        </is>
      </c>
      <c r="E75" s="10" t="n">
        <v>44</v>
      </c>
      <c r="F75" s="11" t="n"/>
      <c r="G75" s="5" t="n">
        <v>164</v>
      </c>
      <c r="H75" s="5" t="n">
        <v>290</v>
      </c>
      <c r="I75" s="4" t="inlineStr"/>
      <c r="J75" s="5">
        <f>IF(F75&lt;&gt;"",F75*Assumptions!$B$4,"")</f>
        <v/>
      </c>
      <c r="K75" s="5">
        <f>IF(F75&lt;&gt;"",F75,"")</f>
        <v/>
      </c>
      <c r="L75" s="5">
        <f>IF(G75&lt;&gt;"",G75,F75)</f>
        <v/>
      </c>
      <c r="M75" s="5">
        <f>IF(E75&lt;&gt;"",E75*J75,"")</f>
        <v/>
      </c>
      <c r="N75" s="5">
        <f>IF(E75&lt;&gt;"",E75*K75,"")</f>
        <v/>
      </c>
      <c r="O75" s="5">
        <f>IF(E75&lt;&gt;"",E75*L75,"")</f>
        <v/>
      </c>
    </row>
    <row r="76">
      <c r="A76" s="4" t="inlineStr">
        <is>
          <t>Porcelain 5mm</t>
        </is>
      </c>
      <c r="B76" s="4" t="inlineStr">
        <is>
          <t>OLINCALN HAN RET</t>
        </is>
      </c>
      <c r="C76" s="4" t="inlineStr">
        <is>
          <t>ITALY</t>
        </is>
      </c>
      <c r="D76" s="4" t="inlineStr">
        <is>
          <t>2780X1200X5</t>
        </is>
      </c>
      <c r="E76" s="10" t="n">
        <v>44</v>
      </c>
      <c r="F76" s="11" t="n"/>
      <c r="G76" s="5" t="n">
        <v>164</v>
      </c>
      <c r="H76" s="5" t="n">
        <v>290</v>
      </c>
      <c r="I76" s="4" t="inlineStr"/>
      <c r="J76" s="5">
        <f>IF(F76&lt;&gt;"",F76*Assumptions!$B$4,"")</f>
        <v/>
      </c>
      <c r="K76" s="5">
        <f>IF(F76&lt;&gt;"",F76,"")</f>
        <v/>
      </c>
      <c r="L76" s="5">
        <f>IF(G76&lt;&gt;"",G76,F76)</f>
        <v/>
      </c>
      <c r="M76" s="5">
        <f>IF(E76&lt;&gt;"",E76*J76,"")</f>
        <v/>
      </c>
      <c r="N76" s="5">
        <f>IF(E76&lt;&gt;"",E76*K76,"")</f>
        <v/>
      </c>
      <c r="O76" s="5">
        <f>IF(E76&lt;&gt;"",E76*L76,"")</f>
        <v/>
      </c>
    </row>
    <row r="77">
      <c r="A77" s="4" t="inlineStr">
        <is>
          <t>Porcelain 5mm</t>
        </is>
      </c>
      <c r="B77" s="4" t="inlineStr">
        <is>
          <t>PIETRO GREYY NAT</t>
        </is>
      </c>
      <c r="C77" s="4" t="inlineStr">
        <is>
          <t>ITALY</t>
        </is>
      </c>
      <c r="D77" s="4" t="inlineStr">
        <is>
          <t>2780X1200X5</t>
        </is>
      </c>
      <c r="E77" s="10" t="n">
        <v>132</v>
      </c>
      <c r="F77" s="11" t="n"/>
      <c r="G77" s="5" t="n">
        <v>164</v>
      </c>
      <c r="H77" s="5" t="n">
        <v>290</v>
      </c>
      <c r="I77" s="4" t="inlineStr"/>
      <c r="J77" s="5">
        <f>IF(F77&lt;&gt;"",F77*Assumptions!$B$4,"")</f>
        <v/>
      </c>
      <c r="K77" s="5">
        <f>IF(F77&lt;&gt;"",F77,"")</f>
        <v/>
      </c>
      <c r="L77" s="5">
        <f>IF(G77&lt;&gt;"",G77,F77)</f>
        <v/>
      </c>
      <c r="M77" s="5">
        <f>IF(E77&lt;&gt;"",E77*J77,"")</f>
        <v/>
      </c>
      <c r="N77" s="5">
        <f>IF(E77&lt;&gt;"",E77*K77,"")</f>
        <v/>
      </c>
      <c r="O77" s="5">
        <f>IF(E77&lt;&gt;"",E77*L77,"")</f>
        <v/>
      </c>
    </row>
    <row r="78">
      <c r="A78" s="4" t="inlineStr">
        <is>
          <t>Porcelain 5mm</t>
        </is>
      </c>
      <c r="B78" s="4" t="inlineStr">
        <is>
          <t>SUPER WHITE NAT</t>
        </is>
      </c>
      <c r="C78" s="4" t="inlineStr">
        <is>
          <t>ITALY</t>
        </is>
      </c>
      <c r="D78" s="4" t="inlineStr">
        <is>
          <t>2780X1200X5</t>
        </is>
      </c>
      <c r="E78" s="10" t="n">
        <v>44</v>
      </c>
      <c r="F78" s="11" t="n"/>
      <c r="G78" s="5" t="n">
        <v>164</v>
      </c>
      <c r="H78" s="5" t="n">
        <v>290</v>
      </c>
      <c r="I78" s="4" t="inlineStr"/>
      <c r="J78" s="5">
        <f>IF(F78&lt;&gt;"",F78*Assumptions!$B$4,"")</f>
        <v/>
      </c>
      <c r="K78" s="5">
        <f>IF(F78&lt;&gt;"",F78,"")</f>
        <v/>
      </c>
      <c r="L78" s="5">
        <f>IF(G78&lt;&gt;"",G78,F78)</f>
        <v/>
      </c>
      <c r="M78" s="5">
        <f>IF(E78&lt;&gt;"",E78*J78,"")</f>
        <v/>
      </c>
      <c r="N78" s="5">
        <f>IF(E78&lt;&gt;"",E78*K78,"")</f>
        <v/>
      </c>
      <c r="O78" s="5">
        <f>IF(E78&lt;&gt;"",E78*L78,"")</f>
        <v/>
      </c>
    </row>
    <row r="79">
      <c r="A79" s="4" t="inlineStr">
        <is>
          <t>Porcelain 5mm</t>
        </is>
      </c>
      <c r="B79" s="4" t="inlineStr">
        <is>
          <t>FIOR DI BASCO NAT</t>
        </is>
      </c>
      <c r="C79" s="4" t="inlineStr">
        <is>
          <t>ITALY</t>
        </is>
      </c>
      <c r="D79" s="4" t="inlineStr">
        <is>
          <t>2780X1200X5</t>
        </is>
      </c>
      <c r="E79" s="10" t="n">
        <v>44</v>
      </c>
      <c r="F79" s="11" t="n"/>
      <c r="G79" s="5" t="n">
        <v>164</v>
      </c>
      <c r="H79" s="5" t="n">
        <v>290</v>
      </c>
      <c r="I79" s="4" t="inlineStr"/>
      <c r="J79" s="5">
        <f>IF(F79&lt;&gt;"",F79*Assumptions!$B$4,"")</f>
        <v/>
      </c>
      <c r="K79" s="5">
        <f>IF(F79&lt;&gt;"",F79,"")</f>
        <v/>
      </c>
      <c r="L79" s="5">
        <f>IF(G79&lt;&gt;"",G79,F79)</f>
        <v/>
      </c>
      <c r="M79" s="5">
        <f>IF(E79&lt;&gt;"",E79*J79,"")</f>
        <v/>
      </c>
      <c r="N79" s="5">
        <f>IF(E79&lt;&gt;"",E79*K79,"")</f>
        <v/>
      </c>
      <c r="O79" s="5">
        <f>IF(E79&lt;&gt;"",E79*L79,"")</f>
        <v/>
      </c>
    </row>
    <row r="80">
      <c r="A80" s="4" t="inlineStr">
        <is>
          <t>Porcelain 5mm</t>
        </is>
      </c>
      <c r="B80" s="4" t="inlineStr">
        <is>
          <t>ROYAL CREAMY NAT</t>
        </is>
      </c>
      <c r="C80" s="4" t="inlineStr">
        <is>
          <t>ITALY</t>
        </is>
      </c>
      <c r="D80" s="4" t="inlineStr">
        <is>
          <t>2780X1200X5</t>
        </is>
      </c>
      <c r="E80" s="10" t="n">
        <v>22</v>
      </c>
      <c r="F80" s="11" t="n"/>
      <c r="G80" s="5" t="n">
        <v>164</v>
      </c>
      <c r="H80" s="5" t="n">
        <v>290</v>
      </c>
      <c r="I80" s="4" t="inlineStr"/>
      <c r="J80" s="5">
        <f>IF(F80&lt;&gt;"",F80*Assumptions!$B$4,"")</f>
        <v/>
      </c>
      <c r="K80" s="5">
        <f>IF(F80&lt;&gt;"",F80,"")</f>
        <v/>
      </c>
      <c r="L80" s="5">
        <f>IF(G80&lt;&gt;"",G80,F80)</f>
        <v/>
      </c>
      <c r="M80" s="5">
        <f>IF(E80&lt;&gt;"",E80*J80,"")</f>
        <v/>
      </c>
      <c r="N80" s="5">
        <f>IF(E80&lt;&gt;"",E80*K80,"")</f>
        <v/>
      </c>
      <c r="O80" s="5">
        <f>IF(E80&lt;&gt;"",E80*L80,"")</f>
        <v/>
      </c>
    </row>
    <row r="81">
      <c r="A81" s="4" t="inlineStr">
        <is>
          <t>Porcelain 12mm</t>
        </is>
      </c>
      <c r="B81" s="4" t="inlineStr">
        <is>
          <t>CALAKATA LIGHT</t>
        </is>
      </c>
      <c r="C81" s="4" t="inlineStr">
        <is>
          <t>ITALY</t>
        </is>
      </c>
      <c r="D81" s="4" t="inlineStr">
        <is>
          <t>3240X1620X12</t>
        </is>
      </c>
      <c r="E81" s="10" t="n">
        <v>43</v>
      </c>
      <c r="F81" s="11" t="n"/>
      <c r="G81" s="5" t="n">
        <v>451</v>
      </c>
      <c r="H81" s="5" t="n">
        <v>650</v>
      </c>
      <c r="I81" s="4" t="inlineStr"/>
      <c r="J81" s="5">
        <f>IF(F81&lt;&gt;"",F81*Assumptions!$B$4,"")</f>
        <v/>
      </c>
      <c r="K81" s="5">
        <f>IF(F81&lt;&gt;"",F81,"")</f>
        <v/>
      </c>
      <c r="L81" s="5">
        <f>IF(G81&lt;&gt;"",G81,F81)</f>
        <v/>
      </c>
      <c r="M81" s="5">
        <f>IF(E81&lt;&gt;"",E81*J81,"")</f>
        <v/>
      </c>
      <c r="N81" s="5">
        <f>IF(E81&lt;&gt;"",E81*K81,"")</f>
        <v/>
      </c>
      <c r="O81" s="5">
        <f>IF(E81&lt;&gt;"",E81*L81,"")</f>
        <v/>
      </c>
    </row>
    <row r="82">
      <c r="A82" s="4" t="inlineStr">
        <is>
          <t>Porcelain 12mm</t>
        </is>
      </c>
      <c r="B82" s="4" t="inlineStr">
        <is>
          <t>TAJ MAHAL POL</t>
        </is>
      </c>
      <c r="C82" s="4" t="inlineStr">
        <is>
          <t>ITALY</t>
        </is>
      </c>
      <c r="D82" s="4" t="inlineStr">
        <is>
          <t>3240X1620X12</t>
        </is>
      </c>
      <c r="E82" s="10" t="n">
        <v>20</v>
      </c>
      <c r="F82" s="11" t="n"/>
      <c r="G82" s="5" t="n">
        <v>451</v>
      </c>
      <c r="H82" s="5" t="n">
        <v>650</v>
      </c>
      <c r="I82" s="4" t="inlineStr"/>
      <c r="J82" s="5">
        <f>IF(F82&lt;&gt;"",F82*Assumptions!$B$4,"")</f>
        <v/>
      </c>
      <c r="K82" s="5">
        <f>IF(F82&lt;&gt;"",F82,"")</f>
        <v/>
      </c>
      <c r="L82" s="5">
        <f>IF(G82&lt;&gt;"",G82,F82)</f>
        <v/>
      </c>
      <c r="M82" s="5">
        <f>IF(E82&lt;&gt;"",E82*J82,"")</f>
        <v/>
      </c>
      <c r="N82" s="5">
        <f>IF(E82&lt;&gt;"",E82*K82,"")</f>
        <v/>
      </c>
      <c r="O82" s="5">
        <f>IF(E82&lt;&gt;"",E82*L82,"")</f>
        <v/>
      </c>
    </row>
    <row r="83">
      <c r="A83" s="4" t="inlineStr">
        <is>
          <t>Porcelain 12mm</t>
        </is>
      </c>
      <c r="B83" s="4" t="inlineStr">
        <is>
          <t>CALACATTA MACCHIA</t>
        </is>
      </c>
      <c r="C83" s="4" t="inlineStr">
        <is>
          <t>ITALY</t>
        </is>
      </c>
      <c r="D83" s="4" t="inlineStr">
        <is>
          <t>3240X1620X12</t>
        </is>
      </c>
      <c r="E83" s="10" t="n">
        <v>21</v>
      </c>
      <c r="F83" s="11" t="n"/>
      <c r="G83" s="5" t="n">
        <v>451</v>
      </c>
      <c r="H83" s="5" t="n">
        <v>650</v>
      </c>
      <c r="I83" s="4" t="inlineStr"/>
      <c r="J83" s="5">
        <f>IF(F83&lt;&gt;"",F83*Assumptions!$B$4,"")</f>
        <v/>
      </c>
      <c r="K83" s="5">
        <f>IF(F83&lt;&gt;"",F83,"")</f>
        <v/>
      </c>
      <c r="L83" s="5">
        <f>IF(G83&lt;&gt;"",G83,F83)</f>
        <v/>
      </c>
      <c r="M83" s="5">
        <f>IF(E83&lt;&gt;"",E83*J83,"")</f>
        <v/>
      </c>
      <c r="N83" s="5">
        <f>IF(E83&lt;&gt;"",E83*K83,"")</f>
        <v/>
      </c>
      <c r="O83" s="5">
        <f>IF(E83&lt;&gt;"",E83*L83,"")</f>
        <v/>
      </c>
    </row>
    <row r="84">
      <c r="A84" s="4" t="inlineStr">
        <is>
          <t>Porcelain 12mm</t>
        </is>
      </c>
      <c r="B84" s="4" t="inlineStr">
        <is>
          <t>ROYALL CERAMY</t>
        </is>
      </c>
      <c r="C84" s="4" t="inlineStr">
        <is>
          <t>ITALY</t>
        </is>
      </c>
      <c r="D84" s="4" t="inlineStr">
        <is>
          <t>3240X1620X12</t>
        </is>
      </c>
      <c r="E84" s="10" t="n">
        <v>21</v>
      </c>
      <c r="F84" s="11" t="n"/>
      <c r="G84" s="5" t="n">
        <v>451</v>
      </c>
      <c r="H84" s="5" t="n">
        <v>650</v>
      </c>
      <c r="I84" s="4" t="inlineStr"/>
      <c r="J84" s="5">
        <f>IF(F84&lt;&gt;"",F84*Assumptions!$B$4,"")</f>
        <v/>
      </c>
      <c r="K84" s="5">
        <f>IF(F84&lt;&gt;"",F84,"")</f>
        <v/>
      </c>
      <c r="L84" s="5">
        <f>IF(G84&lt;&gt;"",G84,F84)</f>
        <v/>
      </c>
      <c r="M84" s="5">
        <f>IF(E84&lt;&gt;"",E84*J84,"")</f>
        <v/>
      </c>
      <c r="N84" s="5">
        <f>IF(E84&lt;&gt;"",E84*K84,"")</f>
        <v/>
      </c>
      <c r="O84" s="5">
        <f>IF(E84&lt;&gt;"",E84*L84,"")</f>
        <v/>
      </c>
    </row>
    <row r="85">
      <c r="A85" s="4" t="inlineStr">
        <is>
          <t>Porcelain 12mm</t>
        </is>
      </c>
      <c r="B85" s="4" t="inlineStr">
        <is>
          <t>CAPRAIA POL</t>
        </is>
      </c>
      <c r="C85" s="4" t="inlineStr">
        <is>
          <t>ITALY</t>
        </is>
      </c>
      <c r="D85" s="4" t="inlineStr">
        <is>
          <t>3240X1620X12</t>
        </is>
      </c>
      <c r="E85" s="10" t="n">
        <v>13</v>
      </c>
      <c r="F85" s="11" t="n"/>
      <c r="G85" s="5" t="n">
        <v>451</v>
      </c>
      <c r="H85" s="5" t="n">
        <v>650</v>
      </c>
      <c r="I85" s="4" t="inlineStr"/>
      <c r="J85" s="5">
        <f>IF(F85&lt;&gt;"",F85*Assumptions!$B$4,"")</f>
        <v/>
      </c>
      <c r="K85" s="5">
        <f>IF(F85&lt;&gt;"",F85,"")</f>
        <v/>
      </c>
      <c r="L85" s="5">
        <f>IF(G85&lt;&gt;"",G85,F85)</f>
        <v/>
      </c>
      <c r="M85" s="5">
        <f>IF(E85&lt;&gt;"",E85*J85,"")</f>
        <v/>
      </c>
      <c r="N85" s="5">
        <f>IF(E85&lt;&gt;"",E85*K85,"")</f>
        <v/>
      </c>
      <c r="O85" s="5">
        <f>IF(E85&lt;&gt;"",E85*L85,"")</f>
        <v/>
      </c>
    </row>
    <row r="86">
      <c r="A86" s="4" t="inlineStr">
        <is>
          <t>Porcelain 12mm</t>
        </is>
      </c>
      <c r="B86" s="4" t="inlineStr">
        <is>
          <t>PIETRO GREYY POL</t>
        </is>
      </c>
      <c r="C86" s="4" t="inlineStr">
        <is>
          <t>ITALY</t>
        </is>
      </c>
      <c r="D86" s="4" t="inlineStr">
        <is>
          <t>3240X1620X12</t>
        </is>
      </c>
      <c r="E86" s="10" t="n">
        <v>21</v>
      </c>
      <c r="F86" s="11" t="n"/>
      <c r="G86" s="5" t="n">
        <v>451</v>
      </c>
      <c r="H86" s="5" t="n">
        <v>650</v>
      </c>
      <c r="I86" s="4" t="inlineStr"/>
      <c r="J86" s="5">
        <f>IF(F86&lt;&gt;"",F86*Assumptions!$B$4,"")</f>
        <v/>
      </c>
      <c r="K86" s="5">
        <f>IF(F86&lt;&gt;"",F86,"")</f>
        <v/>
      </c>
      <c r="L86" s="5">
        <f>IF(G86&lt;&gt;"",G86,F86)</f>
        <v/>
      </c>
      <c r="M86" s="5">
        <f>IF(E86&lt;&gt;"",E86*J86,"")</f>
        <v/>
      </c>
      <c r="N86" s="5">
        <f>IF(E86&lt;&gt;"",E86*K86,"")</f>
        <v/>
      </c>
      <c r="O86" s="5">
        <f>IF(E86&lt;&gt;"",E86*L86,"")</f>
        <v/>
      </c>
    </row>
    <row r="87">
      <c r="A87" s="4" t="inlineStr">
        <is>
          <t>Porcelain 12mm</t>
        </is>
      </c>
      <c r="B87" s="4" t="inlineStr">
        <is>
          <t>CAPRAIA</t>
        </is>
      </c>
      <c r="C87" s="4" t="inlineStr">
        <is>
          <t>ITALY</t>
        </is>
      </c>
      <c r="D87" s="4" t="inlineStr">
        <is>
          <t>3240X1620X12</t>
        </is>
      </c>
      <c r="E87" s="10" t="n">
        <v>21</v>
      </c>
      <c r="F87" s="11" t="n"/>
      <c r="G87" s="5" t="n">
        <v>451</v>
      </c>
      <c r="H87" s="5" t="n">
        <v>650</v>
      </c>
      <c r="I87" s="4" t="inlineStr"/>
      <c r="J87" s="5">
        <f>IF(F87&lt;&gt;"",F87*Assumptions!$B$4,"")</f>
        <v/>
      </c>
      <c r="K87" s="5">
        <f>IF(F87&lt;&gt;"",F87,"")</f>
        <v/>
      </c>
      <c r="L87" s="5">
        <f>IF(G87&lt;&gt;"",G87,F87)</f>
        <v/>
      </c>
      <c r="M87" s="5">
        <f>IF(E87&lt;&gt;"",E87*J87,"")</f>
        <v/>
      </c>
      <c r="N87" s="5">
        <f>IF(E87&lt;&gt;"",E87*K87,"")</f>
        <v/>
      </c>
      <c r="O87" s="5">
        <f>IF(E87&lt;&gt;"",E87*L87,"")</f>
        <v/>
      </c>
    </row>
    <row r="88">
      <c r="A88" s="4" t="inlineStr">
        <is>
          <t>Porcelain 12mm</t>
        </is>
      </c>
      <c r="B88" s="4" t="inlineStr">
        <is>
          <t>SUPER WHITE</t>
        </is>
      </c>
      <c r="C88" s="4" t="inlineStr">
        <is>
          <t>ITALY</t>
        </is>
      </c>
      <c r="D88" s="4" t="inlineStr">
        <is>
          <t>3240X1620X12</t>
        </is>
      </c>
      <c r="E88" s="10" t="n">
        <v>21</v>
      </c>
      <c r="F88" s="11" t="n"/>
      <c r="G88" s="5" t="n">
        <v>451</v>
      </c>
      <c r="H88" s="5" t="n">
        <v>650</v>
      </c>
      <c r="I88" s="4" t="inlineStr"/>
      <c r="J88" s="5">
        <f>IF(F88&lt;&gt;"",F88*Assumptions!$B$4,"")</f>
        <v/>
      </c>
      <c r="K88" s="5">
        <f>IF(F88&lt;&gt;"",F88,"")</f>
        <v/>
      </c>
      <c r="L88" s="5">
        <f>IF(G88&lt;&gt;"",G88,F88)</f>
        <v/>
      </c>
      <c r="M88" s="5">
        <f>IF(E88&lt;&gt;"",E88*J88,"")</f>
        <v/>
      </c>
      <c r="N88" s="5">
        <f>IF(E88&lt;&gt;"",E88*K88,"")</f>
        <v/>
      </c>
      <c r="O88" s="5">
        <f>IF(E88&lt;&gt;"",E88*L88,"")</f>
        <v/>
      </c>
    </row>
    <row r="89">
      <c r="A89" s="4" t="inlineStr">
        <is>
          <t>Porcelain 12mm</t>
        </is>
      </c>
      <c r="B89" s="4" t="inlineStr">
        <is>
          <t>STATUARIO</t>
        </is>
      </c>
      <c r="C89" s="4" t="inlineStr">
        <is>
          <t>ITALY</t>
        </is>
      </c>
      <c r="D89" s="4" t="inlineStr">
        <is>
          <t>3240X1620X12</t>
        </is>
      </c>
      <c r="E89" s="10" t="n">
        <v>22</v>
      </c>
      <c r="F89" s="11" t="n"/>
      <c r="G89" s="5" t="n">
        <v>451</v>
      </c>
      <c r="H89" s="5" t="n">
        <v>650</v>
      </c>
      <c r="I89" s="4" t="inlineStr"/>
      <c r="J89" s="5">
        <f>IF(F89&lt;&gt;"",F89*Assumptions!$B$4,"")</f>
        <v/>
      </c>
      <c r="K89" s="5">
        <f>IF(F89&lt;&gt;"",F89,"")</f>
        <v/>
      </c>
      <c r="L89" s="5">
        <f>IF(G89&lt;&gt;"",G89,F89)</f>
        <v/>
      </c>
      <c r="M89" s="5">
        <f>IF(E89&lt;&gt;"",E89*J89,"")</f>
        <v/>
      </c>
      <c r="N89" s="5">
        <f>IF(E89&lt;&gt;"",E89*K89,"")</f>
        <v/>
      </c>
      <c r="O89" s="5">
        <f>IF(E89&lt;&gt;"",E89*L89,"")</f>
        <v/>
      </c>
    </row>
    <row r="90">
      <c r="A90" s="4" t="inlineStr">
        <is>
          <t>Porcelain 12mm</t>
        </is>
      </c>
      <c r="B90" s="4" t="inlineStr">
        <is>
          <t>FIOR DI BASCO</t>
        </is>
      </c>
      <c r="C90" s="4" t="inlineStr">
        <is>
          <t>ITALY</t>
        </is>
      </c>
      <c r="D90" s="4" t="inlineStr">
        <is>
          <t>3240X1620X12</t>
        </is>
      </c>
      <c r="E90" s="10" t="n">
        <v>21</v>
      </c>
      <c r="F90" s="11" t="n"/>
      <c r="G90" s="5" t="n">
        <v>451</v>
      </c>
      <c r="H90" s="5" t="n">
        <v>650</v>
      </c>
      <c r="I90" s="4" t="inlineStr"/>
      <c r="J90" s="5">
        <f>IF(F90&lt;&gt;"",F90*Assumptions!$B$4,"")</f>
        <v/>
      </c>
      <c r="K90" s="5">
        <f>IF(F90&lt;&gt;"",F90,"")</f>
        <v/>
      </c>
      <c r="L90" s="5">
        <f>IF(G90&lt;&gt;"",G90,F90)</f>
        <v/>
      </c>
      <c r="M90" s="5">
        <f>IF(E90&lt;&gt;"",E90*J90,"")</f>
        <v/>
      </c>
      <c r="N90" s="5">
        <f>IF(E90&lt;&gt;"",E90*K90,"")</f>
        <v/>
      </c>
      <c r="O90" s="5">
        <f>IF(E90&lt;&gt;"",E90*L90,"")</f>
        <v/>
      </c>
    </row>
    <row r="91">
      <c r="A91" s="4" t="inlineStr">
        <is>
          <t>Porcelain 12mm</t>
        </is>
      </c>
      <c r="B91" s="4" t="inlineStr">
        <is>
          <t>CAPRAIA (2)</t>
        </is>
      </c>
      <c r="C91" s="4" t="inlineStr">
        <is>
          <t>ITALY</t>
        </is>
      </c>
      <c r="D91" s="4" t="inlineStr">
        <is>
          <t>3240X1620X12</t>
        </is>
      </c>
      <c r="E91" s="10" t="n">
        <v>22</v>
      </c>
      <c r="F91" s="11" t="n"/>
      <c r="G91" s="5" t="n">
        <v>451</v>
      </c>
      <c r="H91" s="5" t="n">
        <v>650</v>
      </c>
      <c r="I91" s="4" t="inlineStr"/>
      <c r="J91" s="5">
        <f>IF(F91&lt;&gt;"",F91*Assumptions!$B$4,"")</f>
        <v/>
      </c>
      <c r="K91" s="5">
        <f>IF(F91&lt;&gt;"",F91,"")</f>
        <v/>
      </c>
      <c r="L91" s="5">
        <f>IF(G91&lt;&gt;"",G91,F91)</f>
        <v/>
      </c>
      <c r="M91" s="5">
        <f>IF(E91&lt;&gt;"",E91*J91,"")</f>
        <v/>
      </c>
      <c r="N91" s="5">
        <f>IF(E91&lt;&gt;"",E91*K91,"")</f>
        <v/>
      </c>
      <c r="O91" s="5">
        <f>IF(E91&lt;&gt;"",E91*L91,"")</f>
        <v/>
      </c>
    </row>
    <row r="92">
      <c r="A92" s="4" t="inlineStr">
        <is>
          <t>Quartz 30mm (Quartzforms)</t>
        </is>
      </c>
      <c r="B92" s="4" t="inlineStr">
        <is>
          <t>VEINED MICHELANGELO</t>
        </is>
      </c>
      <c r="C92" s="4" t="inlineStr">
        <is>
          <t>GERMANY</t>
        </is>
      </c>
      <c r="D92" s="4" t="inlineStr">
        <is>
          <t>3200X1640X30</t>
        </is>
      </c>
      <c r="E92" s="10" t="n">
        <v>10</v>
      </c>
      <c r="F92" s="11" t="n"/>
      <c r="G92" s="5" t="n">
        <v>1050</v>
      </c>
      <c r="H92" s="5" t="n">
        <v>1042</v>
      </c>
      <c r="I92" s="4" t="inlineStr"/>
      <c r="J92" s="5">
        <f>IF(F92&lt;&gt;"",F92*Assumptions!$B$4,"")</f>
        <v/>
      </c>
      <c r="K92" s="5">
        <f>IF(F92&lt;&gt;"",F92,"")</f>
        <v/>
      </c>
      <c r="L92" s="5">
        <f>IF(G92&lt;&gt;"",G92,F92)</f>
        <v/>
      </c>
      <c r="M92" s="5">
        <f>IF(E92&lt;&gt;"",E92*J92,"")</f>
        <v/>
      </c>
      <c r="N92" s="5">
        <f>IF(E92&lt;&gt;"",E92*K92,"")</f>
        <v/>
      </c>
      <c r="O92" s="5">
        <f>IF(E92&lt;&gt;"",E92*L92,"")</f>
        <v/>
      </c>
    </row>
    <row r="93">
      <c r="A93" s="4" t="inlineStr">
        <is>
          <t>Quartz 30mm (Quartzforms)</t>
        </is>
      </c>
      <c r="B93" s="4" t="inlineStr">
        <is>
          <t>PLANET TEMPEL</t>
        </is>
      </c>
      <c r="C93" s="4" t="inlineStr">
        <is>
          <t>GERMANY</t>
        </is>
      </c>
      <c r="D93" s="4" t="inlineStr">
        <is>
          <t>3200X1640X30</t>
        </is>
      </c>
      <c r="E93" s="10" t="n">
        <v>10</v>
      </c>
      <c r="F93" s="11" t="n"/>
      <c r="G93" s="5" t="n">
        <v>1050</v>
      </c>
      <c r="H93" s="5" t="n">
        <v>1141</v>
      </c>
      <c r="I93" s="4" t="inlineStr"/>
      <c r="J93" s="5">
        <f>IF(F93&lt;&gt;"",F93*Assumptions!$B$4,"")</f>
        <v/>
      </c>
      <c r="K93" s="5">
        <f>IF(F93&lt;&gt;"",F93,"")</f>
        <v/>
      </c>
      <c r="L93" s="5">
        <f>IF(G93&lt;&gt;"",G93,F93)</f>
        <v/>
      </c>
      <c r="M93" s="5">
        <f>IF(E93&lt;&gt;"",E93*J93,"")</f>
        <v/>
      </c>
      <c r="N93" s="5">
        <f>IF(E93&lt;&gt;"",E93*K93,"")</f>
        <v/>
      </c>
      <c r="O93" s="5">
        <f>IF(E93&lt;&gt;"",E93*L93,"")</f>
        <v/>
      </c>
    </row>
    <row r="94">
      <c r="A94" s="4" t="inlineStr">
        <is>
          <t>Quartz 30mm (Quartzforms)</t>
        </is>
      </c>
      <c r="B94" s="4" t="inlineStr">
        <is>
          <t>PLANET NEPTUNE</t>
        </is>
      </c>
      <c r="C94" s="4" t="inlineStr">
        <is>
          <t>GERMANY</t>
        </is>
      </c>
      <c r="D94" s="4" t="inlineStr">
        <is>
          <t>3200X1640X30</t>
        </is>
      </c>
      <c r="E94" s="10" t="n">
        <v>10</v>
      </c>
      <c r="F94" s="11" t="n"/>
      <c r="G94" s="5" t="n">
        <v>1050</v>
      </c>
      <c r="H94" s="5" t="n">
        <v>1141</v>
      </c>
      <c r="I94" s="4" t="inlineStr"/>
      <c r="J94" s="5">
        <f>IF(F94&lt;&gt;"",F94*Assumptions!$B$4,"")</f>
        <v/>
      </c>
      <c r="K94" s="5">
        <f>IF(F94&lt;&gt;"",F94,"")</f>
        <v/>
      </c>
      <c r="L94" s="5">
        <f>IF(G94&lt;&gt;"",G94,F94)</f>
        <v/>
      </c>
      <c r="M94" s="5">
        <f>IF(E94&lt;&gt;"",E94*J94,"")</f>
        <v/>
      </c>
      <c r="N94" s="5">
        <f>IF(E94&lt;&gt;"",E94*K94,"")</f>
        <v/>
      </c>
      <c r="O94" s="5">
        <f>IF(E94&lt;&gt;"",E94*L94,"")</f>
        <v/>
      </c>
    </row>
    <row r="95">
      <c r="A95" s="4" t="inlineStr">
        <is>
          <t>Quartz 30mm (Quartzforms)</t>
        </is>
      </c>
      <c r="B95" s="4" t="inlineStr">
        <is>
          <t>VEONED BERNINI JUMB</t>
        </is>
      </c>
      <c r="C95" s="4" t="inlineStr">
        <is>
          <t>GERMANY</t>
        </is>
      </c>
      <c r="D95" s="4" t="inlineStr">
        <is>
          <t>3200X1640X30</t>
        </is>
      </c>
      <c r="E95" s="10" t="n">
        <v>10</v>
      </c>
      <c r="F95" s="11" t="n"/>
      <c r="G95" s="5" t="n">
        <v>1050</v>
      </c>
      <c r="H95" s="5" t="n">
        <v>1086</v>
      </c>
      <c r="I95" s="4" t="inlineStr"/>
      <c r="J95" s="5">
        <f>IF(F95&lt;&gt;"",F95*Assumptions!$B$4,"")</f>
        <v/>
      </c>
      <c r="K95" s="5">
        <f>IF(F95&lt;&gt;"",F95,"")</f>
        <v/>
      </c>
      <c r="L95" s="5">
        <f>IF(G95&lt;&gt;"",G95,F95)</f>
        <v/>
      </c>
      <c r="M95" s="5">
        <f>IF(E95&lt;&gt;"",E95*J95,"")</f>
        <v/>
      </c>
      <c r="N95" s="5">
        <f>IF(E95&lt;&gt;"",E95*K95,"")</f>
        <v/>
      </c>
      <c r="O95" s="5">
        <f>IF(E95&lt;&gt;"",E95*L95,"")</f>
        <v/>
      </c>
    </row>
    <row r="96">
      <c r="A96" s="4" t="inlineStr">
        <is>
          <t>Quartz 30mm (Quartzforms)</t>
        </is>
      </c>
      <c r="B96" s="4" t="inlineStr">
        <is>
          <t>PLANET VENUS</t>
        </is>
      </c>
      <c r="C96" s="4" t="inlineStr">
        <is>
          <t>GERMANY</t>
        </is>
      </c>
      <c r="D96" s="4" t="inlineStr">
        <is>
          <t>3200X1640X30</t>
        </is>
      </c>
      <c r="E96" s="10" t="n">
        <v>15</v>
      </c>
      <c r="F96" s="11" t="n"/>
      <c r="G96" s="5" t="n">
        <v>1050</v>
      </c>
      <c r="H96" s="5" t="n">
        <v>1141</v>
      </c>
      <c r="I96" s="4" t="inlineStr"/>
      <c r="J96" s="5">
        <f>IF(F96&lt;&gt;"",F96*Assumptions!$B$4,"")</f>
        <v/>
      </c>
      <c r="K96" s="5">
        <f>IF(F96&lt;&gt;"",F96,"")</f>
        <v/>
      </c>
      <c r="L96" s="5">
        <f>IF(G96&lt;&gt;"",G96,F96)</f>
        <v/>
      </c>
      <c r="M96" s="5">
        <f>IF(E96&lt;&gt;"",E96*J96,"")</f>
        <v/>
      </c>
      <c r="N96" s="5">
        <f>IF(E96&lt;&gt;"",E96*K96,"")</f>
        <v/>
      </c>
      <c r="O96" s="5">
        <f>IF(E96&lt;&gt;"",E96*L96,"")</f>
        <v/>
      </c>
    </row>
    <row r="97">
      <c r="A97" s="4" t="inlineStr">
        <is>
          <t>Quartz 30mm (Quartzforms)</t>
        </is>
      </c>
      <c r="B97" s="4" t="inlineStr">
        <is>
          <t>ABSOLUTE WHITE JUMBO</t>
        </is>
      </c>
      <c r="C97" s="4" t="inlineStr">
        <is>
          <t>GERMANY</t>
        </is>
      </c>
      <c r="D97" s="4" t="inlineStr">
        <is>
          <t>3200X1640X30</t>
        </is>
      </c>
      <c r="E97" s="10" t="n">
        <v>9</v>
      </c>
      <c r="F97" s="11" t="n"/>
      <c r="G97" s="5" t="n">
        <v>1050</v>
      </c>
      <c r="H97" s="5" t="n">
        <v>1086</v>
      </c>
      <c r="I97" s="4" t="inlineStr"/>
      <c r="J97" s="5">
        <f>IF(F97&lt;&gt;"",F97*Assumptions!$B$4,"")</f>
        <v/>
      </c>
      <c r="K97" s="5">
        <f>IF(F97&lt;&gt;"",F97,"")</f>
        <v/>
      </c>
      <c r="L97" s="5">
        <f>IF(G97&lt;&gt;"",G97,F97)</f>
        <v/>
      </c>
      <c r="M97" s="5">
        <f>IF(E97&lt;&gt;"",E97*J97,"")</f>
        <v/>
      </c>
      <c r="N97" s="5">
        <f>IF(E97&lt;&gt;"",E97*K97,"")</f>
        <v/>
      </c>
      <c r="O97" s="5">
        <f>IF(E97&lt;&gt;"",E97*L97,"")</f>
        <v/>
      </c>
    </row>
    <row r="98">
      <c r="A98" s="4" t="inlineStr">
        <is>
          <t>Quartz 30mm (Quartzforms)</t>
        </is>
      </c>
      <c r="B98" s="4" t="inlineStr">
        <is>
          <t>HONEY GALAXY</t>
        </is>
      </c>
      <c r="C98" s="4" t="inlineStr">
        <is>
          <t>GERMANY</t>
        </is>
      </c>
      <c r="D98" s="4" t="inlineStr">
        <is>
          <t>3200X1640X30</t>
        </is>
      </c>
      <c r="E98" s="10" t="n">
        <v>15</v>
      </c>
      <c r="F98" s="11" t="n"/>
      <c r="G98" s="5" t="n">
        <v>1050</v>
      </c>
      <c r="H98" s="5" t="n">
        <v>1042</v>
      </c>
      <c r="I98" s="4" t="inlineStr"/>
      <c r="J98" s="5">
        <f>IF(F98&lt;&gt;"",F98*Assumptions!$B$4,"")</f>
        <v/>
      </c>
      <c r="K98" s="5">
        <f>IF(F98&lt;&gt;"",F98,"")</f>
        <v/>
      </c>
      <c r="L98" s="5">
        <f>IF(G98&lt;&gt;"",G98,F98)</f>
        <v/>
      </c>
      <c r="M98" s="5">
        <f>IF(E98&lt;&gt;"",E98*J98,"")</f>
        <v/>
      </c>
      <c r="N98" s="5">
        <f>IF(E98&lt;&gt;"",E98*K98,"")</f>
        <v/>
      </c>
      <c r="O98" s="5">
        <f>IF(E98&lt;&gt;"",E98*L98,"")</f>
        <v/>
      </c>
    </row>
    <row r="99">
      <c r="A99" s="4" t="inlineStr">
        <is>
          <t>Quartz 30mm (Quartzforms)</t>
        </is>
      </c>
      <c r="B99" s="4" t="inlineStr">
        <is>
          <t>OCEAN LOGAEN</t>
        </is>
      </c>
      <c r="C99" s="4" t="inlineStr">
        <is>
          <t>GERMANY</t>
        </is>
      </c>
      <c r="D99" s="4" t="inlineStr">
        <is>
          <t>3200X1640X30</t>
        </is>
      </c>
      <c r="E99" s="10" t="n">
        <v>10</v>
      </c>
      <c r="F99" s="11" t="n"/>
      <c r="G99" s="5" t="n">
        <v>1050</v>
      </c>
      <c r="H99" s="5" t="n">
        <v>1042</v>
      </c>
      <c r="I99" s="4" t="inlineStr"/>
      <c r="J99" s="5">
        <f>IF(F99&lt;&gt;"",F99*Assumptions!$B$4,"")</f>
        <v/>
      </c>
      <c r="K99" s="5">
        <f>IF(F99&lt;&gt;"",F99,"")</f>
        <v/>
      </c>
      <c r="L99" s="5">
        <f>IF(G99&lt;&gt;"",G99,F99)</f>
        <v/>
      </c>
      <c r="M99" s="5">
        <f>IF(E99&lt;&gt;"",E99*J99,"")</f>
        <v/>
      </c>
      <c r="N99" s="5">
        <f>IF(E99&lt;&gt;"",E99*K99,"")</f>
        <v/>
      </c>
      <c r="O99" s="5">
        <f>IF(E99&lt;&gt;"",E99*L99,"")</f>
        <v/>
      </c>
    </row>
    <row r="100">
      <c r="A100" s="4" t="inlineStr">
        <is>
          <t>Quartz 30mm (Quartzforms)</t>
        </is>
      </c>
      <c r="B100" s="4" t="inlineStr">
        <is>
          <t>FOREST SUGHERO</t>
        </is>
      </c>
      <c r="C100" s="4" t="inlineStr">
        <is>
          <t>GERMANY</t>
        </is>
      </c>
      <c r="D100" s="4" t="inlineStr">
        <is>
          <t>3200X1640X30</t>
        </is>
      </c>
      <c r="E100" s="10" t="n">
        <v>8</v>
      </c>
      <c r="F100" s="11" t="n"/>
      <c r="G100" s="5" t="n">
        <v>1050</v>
      </c>
      <c r="H100" s="5" t="n">
        <v>1141</v>
      </c>
      <c r="I100" s="4" t="inlineStr"/>
      <c r="J100" s="5">
        <f>IF(F100&lt;&gt;"",F100*Assumptions!$B$4,"")</f>
        <v/>
      </c>
      <c r="K100" s="5">
        <f>IF(F100&lt;&gt;"",F100,"")</f>
        <v/>
      </c>
      <c r="L100" s="5">
        <f>IF(G100&lt;&gt;"",G100,F100)</f>
        <v/>
      </c>
      <c r="M100" s="5">
        <f>IF(E100&lt;&gt;"",E100*J100,"")</f>
        <v/>
      </c>
      <c r="N100" s="5">
        <f>IF(E100&lt;&gt;"",E100*K100,"")</f>
        <v/>
      </c>
      <c r="O100" s="5">
        <f>IF(E100&lt;&gt;"",E100*L100,"")</f>
        <v/>
      </c>
    </row>
    <row r="101">
      <c r="A101" s="4" t="inlineStr">
        <is>
          <t>Quartz 30mm (Quartzforms)</t>
        </is>
      </c>
      <c r="B101" s="4" t="inlineStr">
        <is>
          <t>OCEAN ARCTIC</t>
        </is>
      </c>
      <c r="C101" s="4" t="inlineStr">
        <is>
          <t>GERMANY</t>
        </is>
      </c>
      <c r="D101" s="4" t="inlineStr">
        <is>
          <t>3200X1640X30</t>
        </is>
      </c>
      <c r="E101" s="10" t="n">
        <v>10</v>
      </c>
      <c r="F101" s="11" t="n"/>
      <c r="G101" s="5" t="n">
        <v>1050</v>
      </c>
      <c r="H101" s="5" t="n">
        <v>1042</v>
      </c>
      <c r="I101" s="4" t="inlineStr"/>
      <c r="J101" s="5">
        <f>IF(F101&lt;&gt;"",F101*Assumptions!$B$4,"")</f>
        <v/>
      </c>
      <c r="K101" s="5">
        <f>IF(F101&lt;&gt;"",F101,"")</f>
        <v/>
      </c>
      <c r="L101" s="5">
        <f>IF(G101&lt;&gt;"",G101,F101)</f>
        <v/>
      </c>
      <c r="M101" s="5">
        <f>IF(E101&lt;&gt;"",E101*J101,"")</f>
        <v/>
      </c>
      <c r="N101" s="5">
        <f>IF(E101&lt;&gt;"",E101*K101,"")</f>
        <v/>
      </c>
      <c r="O101" s="5">
        <f>IF(E101&lt;&gt;"",E101*L101,"")</f>
        <v/>
      </c>
    </row>
    <row r="102">
      <c r="A102" s="4" t="inlineStr">
        <is>
          <t>Quartz 30mm (Quartzforms)</t>
        </is>
      </c>
      <c r="B102" s="4" t="inlineStr">
        <is>
          <t>FOREST MAGNDIO</t>
        </is>
      </c>
      <c r="C102" s="4" t="inlineStr">
        <is>
          <t>GERMANY</t>
        </is>
      </c>
      <c r="D102" s="4" t="inlineStr">
        <is>
          <t>3200X1640X30</t>
        </is>
      </c>
      <c r="E102" s="10" t="n">
        <v>10</v>
      </c>
      <c r="F102" s="11" t="n"/>
      <c r="G102" s="5" t="n">
        <v>1050</v>
      </c>
      <c r="H102" s="5" t="n">
        <v>1141</v>
      </c>
      <c r="I102" s="4" t="inlineStr"/>
      <c r="J102" s="5">
        <f>IF(F102&lt;&gt;"",F102*Assumptions!$B$4,"")</f>
        <v/>
      </c>
      <c r="K102" s="5">
        <f>IF(F102&lt;&gt;"",F102,"")</f>
        <v/>
      </c>
      <c r="L102" s="5">
        <f>IF(G102&lt;&gt;"",G102,F102)</f>
        <v/>
      </c>
      <c r="M102" s="5">
        <f>IF(E102&lt;&gt;"",E102*J102,"")</f>
        <v/>
      </c>
      <c r="N102" s="5">
        <f>IF(E102&lt;&gt;"",E102*K102,"")</f>
        <v/>
      </c>
      <c r="O102" s="5">
        <f>IF(E102&lt;&gt;"",E102*L102,"")</f>
        <v/>
      </c>
    </row>
    <row r="103">
      <c r="A103" s="4" t="inlineStr">
        <is>
          <t>Quartz 30mm (Quartzforms)</t>
        </is>
      </c>
      <c r="B103" s="4" t="inlineStr">
        <is>
          <t>OCEAN MIDNIGHT</t>
        </is>
      </c>
      <c r="C103" s="4" t="inlineStr">
        <is>
          <t>GERMANY</t>
        </is>
      </c>
      <c r="D103" s="4" t="inlineStr">
        <is>
          <t>3200X1640X30</t>
        </is>
      </c>
      <c r="E103" s="10" t="n">
        <v>6</v>
      </c>
      <c r="F103" s="11" t="n"/>
      <c r="G103" s="5" t="n">
        <v>1050</v>
      </c>
      <c r="H103" s="5" t="n">
        <v>1086</v>
      </c>
      <c r="I103" s="4" t="inlineStr"/>
      <c r="J103" s="5">
        <f>IF(F103&lt;&gt;"",F103*Assumptions!$B$4,"")</f>
        <v/>
      </c>
      <c r="K103" s="5">
        <f>IF(F103&lt;&gt;"",F103,"")</f>
        <v/>
      </c>
      <c r="L103" s="5">
        <f>IF(G103&lt;&gt;"",G103,F103)</f>
        <v/>
      </c>
      <c r="M103" s="5">
        <f>IF(E103&lt;&gt;"",E103*J103,"")</f>
        <v/>
      </c>
      <c r="N103" s="5">
        <f>IF(E103&lt;&gt;"",E103*K103,"")</f>
        <v/>
      </c>
      <c r="O103" s="5">
        <f>IF(E103&lt;&gt;"",E103*L103,"")</f>
        <v/>
      </c>
    </row>
    <row r="104">
      <c r="A104" s="4" t="inlineStr">
        <is>
          <t>Quartz 30mm (Quartzforms)</t>
        </is>
      </c>
      <c r="B104" s="4" t="inlineStr">
        <is>
          <t>PLANET MARS</t>
        </is>
      </c>
      <c r="C104" s="4" t="inlineStr">
        <is>
          <t>GERMANY</t>
        </is>
      </c>
      <c r="D104" s="4" t="inlineStr">
        <is>
          <t>3200X1640X30</t>
        </is>
      </c>
      <c r="E104" s="10" t="n">
        <v>3</v>
      </c>
      <c r="F104" s="11" t="n"/>
      <c r="G104" s="5" t="n">
        <v>1050</v>
      </c>
      <c r="H104" s="5" t="n">
        <v>1141</v>
      </c>
      <c r="I104" s="4" t="inlineStr"/>
      <c r="J104" s="5">
        <f>IF(F104&lt;&gt;"",F104*Assumptions!$B$4,"")</f>
        <v/>
      </c>
      <c r="K104" s="5">
        <f>IF(F104&lt;&gt;"",F104,"")</f>
        <v/>
      </c>
      <c r="L104" s="5">
        <f>IF(G104&lt;&gt;"",G104,F104)</f>
        <v/>
      </c>
      <c r="M104" s="5">
        <f>IF(E104&lt;&gt;"",E104*J104,"")</f>
        <v/>
      </c>
      <c r="N104" s="5">
        <f>IF(E104&lt;&gt;"",E104*K104,"")</f>
        <v/>
      </c>
      <c r="O104" s="5">
        <f>IF(E104&lt;&gt;"",E104*L104,"")</f>
        <v/>
      </c>
    </row>
    <row r="105">
      <c r="A105" s="4" t="inlineStr">
        <is>
          <t>Quartz 30mm (Quartzforms)</t>
        </is>
      </c>
      <c r="B105" s="4" t="inlineStr">
        <is>
          <t>PLANET MERCURY</t>
        </is>
      </c>
      <c r="C105" s="4" t="inlineStr">
        <is>
          <t>GERMANY</t>
        </is>
      </c>
      <c r="D105" s="4" t="inlineStr">
        <is>
          <t>3200X1640X30</t>
        </is>
      </c>
      <c r="E105" s="10" t="n">
        <v>10</v>
      </c>
      <c r="F105" s="11" t="n"/>
      <c r="G105" s="5" t="n">
        <v>1050</v>
      </c>
      <c r="H105" s="5" t="n">
        <v>1141</v>
      </c>
      <c r="I105" s="4" t="inlineStr"/>
      <c r="J105" s="5">
        <f>IF(F105&lt;&gt;"",F105*Assumptions!$B$4,"")</f>
        <v/>
      </c>
      <c r="K105" s="5">
        <f>IF(F105&lt;&gt;"",F105,"")</f>
        <v/>
      </c>
      <c r="L105" s="5">
        <f>IF(G105&lt;&gt;"",G105,F105)</f>
        <v/>
      </c>
      <c r="M105" s="5">
        <f>IF(E105&lt;&gt;"",E105*J105,"")</f>
        <v/>
      </c>
      <c r="N105" s="5">
        <f>IF(E105&lt;&gt;"",E105*K105,"")</f>
        <v/>
      </c>
      <c r="O105" s="5">
        <f>IF(E105&lt;&gt;"",E105*L105,"")</f>
        <v/>
      </c>
    </row>
    <row r="106">
      <c r="A106" s="4" t="inlineStr">
        <is>
          <t>Quartz 30mm (Quartzforms)</t>
        </is>
      </c>
      <c r="B106" s="4" t="inlineStr">
        <is>
          <t>NEW ERA NIRVANA</t>
        </is>
      </c>
      <c r="C106" s="4" t="inlineStr">
        <is>
          <t>GERMANY</t>
        </is>
      </c>
      <c r="D106" s="4" t="inlineStr">
        <is>
          <t>3200X1640X30</t>
        </is>
      </c>
      <c r="E106" s="10" t="n">
        <v>20</v>
      </c>
      <c r="F106" s="11" t="n"/>
      <c r="G106" s="5" t="n">
        <v>1050</v>
      </c>
      <c r="H106" s="5" t="n">
        <v>1252</v>
      </c>
      <c r="I106" s="4" t="inlineStr"/>
      <c r="J106" s="5">
        <f>IF(F106&lt;&gt;"",F106*Assumptions!$B$4,"")</f>
        <v/>
      </c>
      <c r="K106" s="5">
        <f>IF(F106&lt;&gt;"",F106,"")</f>
        <v/>
      </c>
      <c r="L106" s="5">
        <f>IF(G106&lt;&gt;"",G106,F106)</f>
        <v/>
      </c>
      <c r="M106" s="5">
        <f>IF(E106&lt;&gt;"",E106*J106,"")</f>
        <v/>
      </c>
      <c r="N106" s="5">
        <f>IF(E106&lt;&gt;"",E106*K106,"")</f>
        <v/>
      </c>
      <c r="O106" s="5">
        <f>IF(E106&lt;&gt;"",E106*L106,"")</f>
        <v/>
      </c>
    </row>
    <row r="107">
      <c r="A107" s="4" t="inlineStr">
        <is>
          <t>Quartz 30mm (Quartzforms)</t>
        </is>
      </c>
      <c r="B107" s="4" t="inlineStr">
        <is>
          <t>NEW ERA GOLD</t>
        </is>
      </c>
      <c r="C107" s="4" t="inlineStr">
        <is>
          <t>GERMANY</t>
        </is>
      </c>
      <c r="D107" s="4" t="inlineStr">
        <is>
          <t>3200X1640X30</t>
        </is>
      </c>
      <c r="E107" s="10" t="n">
        <v>20</v>
      </c>
      <c r="F107" s="11" t="n"/>
      <c r="G107" s="5" t="n">
        <v>1050</v>
      </c>
      <c r="H107" s="5" t="n">
        <v>1252</v>
      </c>
      <c r="I107" s="4" t="inlineStr"/>
      <c r="J107" s="5">
        <f>IF(F107&lt;&gt;"",F107*Assumptions!$B$4,"")</f>
        <v/>
      </c>
      <c r="K107" s="5">
        <f>IF(F107&lt;&gt;"",F107,"")</f>
        <v/>
      </c>
      <c r="L107" s="5">
        <f>IF(G107&lt;&gt;"",G107,F107)</f>
        <v/>
      </c>
      <c r="M107" s="5">
        <f>IF(E107&lt;&gt;"",E107*J107,"")</f>
        <v/>
      </c>
      <c r="N107" s="5">
        <f>IF(E107&lt;&gt;"",E107*K107,"")</f>
        <v/>
      </c>
      <c r="O107" s="5">
        <f>IF(E107&lt;&gt;"",E107*L107,"")</f>
        <v/>
      </c>
    </row>
    <row r="108">
      <c r="A108" s="4" t="inlineStr">
        <is>
          <t>Quartz 30mm (Quartzforms)</t>
        </is>
      </c>
      <c r="B108" s="4" t="inlineStr">
        <is>
          <t>FOREST BETULLA</t>
        </is>
      </c>
      <c r="C108" s="4" t="inlineStr">
        <is>
          <t>GERMANY</t>
        </is>
      </c>
      <c r="D108" s="4" t="inlineStr">
        <is>
          <t>3200X1640X30</t>
        </is>
      </c>
      <c r="E108" s="10" t="n">
        <v>8</v>
      </c>
      <c r="F108" s="11" t="n"/>
      <c r="G108" s="5" t="n">
        <v>1050</v>
      </c>
      <c r="H108" s="5" t="n">
        <v>1141</v>
      </c>
      <c r="I108" s="4" t="inlineStr"/>
      <c r="J108" s="5">
        <f>IF(F108&lt;&gt;"",F108*Assumptions!$B$4,"")</f>
        <v/>
      </c>
      <c r="K108" s="5">
        <f>IF(F108&lt;&gt;"",F108,"")</f>
        <v/>
      </c>
      <c r="L108" s="5">
        <f>IF(G108&lt;&gt;"",G108,F108)</f>
        <v/>
      </c>
      <c r="M108" s="5">
        <f>IF(E108&lt;&gt;"",E108*J108,"")</f>
        <v/>
      </c>
      <c r="N108" s="5">
        <f>IF(E108&lt;&gt;"",E108*K108,"")</f>
        <v/>
      </c>
      <c r="O108" s="5">
        <f>IF(E108&lt;&gt;"",E108*L108,"")</f>
        <v/>
      </c>
    </row>
    <row r="109">
      <c r="A109" s="4" t="inlineStr">
        <is>
          <t>Quartz 30mm (Quartzforms)</t>
        </is>
      </c>
      <c r="B109" s="4" t="inlineStr">
        <is>
          <t>HOLLEY</t>
        </is>
      </c>
      <c r="C109" s="4" t="inlineStr">
        <is>
          <t>GERMANY</t>
        </is>
      </c>
      <c r="D109" s="4" t="inlineStr">
        <is>
          <t>3200X1640X30</t>
        </is>
      </c>
      <c r="E109" s="10" t="n">
        <v>15</v>
      </c>
      <c r="F109" s="11" t="n"/>
      <c r="G109" s="5" t="n">
        <v>1050</v>
      </c>
      <c r="H109" s="5" t="n">
        <v>1141</v>
      </c>
      <c r="I109" s="4" t="inlineStr"/>
      <c r="J109" s="5">
        <f>IF(F109&lt;&gt;"",F109*Assumptions!$B$4,"")</f>
        <v/>
      </c>
      <c r="K109" s="5">
        <f>IF(F109&lt;&gt;"",F109,"")</f>
        <v/>
      </c>
      <c r="L109" s="5">
        <f>IF(G109&lt;&gt;"",G109,F109)</f>
        <v/>
      </c>
      <c r="M109" s="5">
        <f>IF(E109&lt;&gt;"",E109*J109,"")</f>
        <v/>
      </c>
      <c r="N109" s="5">
        <f>IF(E109&lt;&gt;"",E109*K109,"")</f>
        <v/>
      </c>
      <c r="O109" s="5">
        <f>IF(E109&lt;&gt;"",E109*L109,"")</f>
        <v/>
      </c>
    </row>
    <row r="110">
      <c r="A110" s="4" t="inlineStr">
        <is>
          <t>Quartz 30mm (Quartzforms)</t>
        </is>
      </c>
      <c r="B110" s="4" t="inlineStr">
        <is>
          <t>FOREST GARRIGUE</t>
        </is>
      </c>
      <c r="C110" s="4" t="inlineStr">
        <is>
          <t>GERMANY</t>
        </is>
      </c>
      <c r="D110" s="4" t="inlineStr">
        <is>
          <t>3200X1640X30</t>
        </is>
      </c>
      <c r="E110" s="10" t="n">
        <v>10</v>
      </c>
      <c r="F110" s="11" t="n"/>
      <c r="G110" s="5" t="n">
        <v>1050</v>
      </c>
      <c r="H110" s="5" t="n">
        <v>1141</v>
      </c>
      <c r="I110" s="4" t="inlineStr"/>
      <c r="J110" s="5">
        <f>IF(F110&lt;&gt;"",F110*Assumptions!$B$4,"")</f>
        <v/>
      </c>
      <c r="K110" s="5">
        <f>IF(F110&lt;&gt;"",F110,"")</f>
        <v/>
      </c>
      <c r="L110" s="5">
        <f>IF(G110&lt;&gt;"",G110,F110)</f>
        <v/>
      </c>
      <c r="M110" s="5">
        <f>IF(E110&lt;&gt;"",E110*J110,"")</f>
        <v/>
      </c>
      <c r="N110" s="5">
        <f>IF(E110&lt;&gt;"",E110*K110,"")</f>
        <v/>
      </c>
      <c r="O110" s="5">
        <f>IF(E110&lt;&gt;"",E110*L110,"")</f>
        <v/>
      </c>
    </row>
    <row r="111">
      <c r="A111" s="4" t="inlineStr">
        <is>
          <t>Quartz 30mm (Quartzforms)</t>
        </is>
      </c>
      <c r="B111" s="4" t="inlineStr">
        <is>
          <t>FOSSIL JET JUMBO</t>
        </is>
      </c>
      <c r="C111" s="4" t="inlineStr">
        <is>
          <t>GERMANY</t>
        </is>
      </c>
      <c r="D111" s="4" t="inlineStr">
        <is>
          <t>3200X1640X30</t>
        </is>
      </c>
      <c r="E111" s="10" t="n">
        <v>3</v>
      </c>
      <c r="F111" s="11" t="n"/>
      <c r="G111" s="5" t="n">
        <v>1050</v>
      </c>
      <c r="H111" s="5" t="n">
        <v>1086</v>
      </c>
      <c r="I111" s="4" t="inlineStr"/>
      <c r="J111" s="5">
        <f>IF(F111&lt;&gt;"",F111*Assumptions!$B$4,"")</f>
        <v/>
      </c>
      <c r="K111" s="5">
        <f>IF(F111&lt;&gt;"",F111,"")</f>
        <v/>
      </c>
      <c r="L111" s="5">
        <f>IF(G111&lt;&gt;"",G111,F111)</f>
        <v/>
      </c>
      <c r="M111" s="5">
        <f>IF(E111&lt;&gt;"",E111*J111,"")</f>
        <v/>
      </c>
      <c r="N111" s="5">
        <f>IF(E111&lt;&gt;"",E111*K111,"")</f>
        <v/>
      </c>
      <c r="O111" s="5">
        <f>IF(E111&lt;&gt;"",E111*L111,"")</f>
        <v/>
      </c>
    </row>
    <row r="112">
      <c r="A112" s="4" t="inlineStr">
        <is>
          <t>Quartz 30mm (Quartzforms)</t>
        </is>
      </c>
      <c r="B112" s="4" t="inlineStr">
        <is>
          <t>VEINED CANOVA</t>
        </is>
      </c>
      <c r="C112" s="4" t="inlineStr">
        <is>
          <t>GERMANY</t>
        </is>
      </c>
      <c r="D112" s="4" t="inlineStr">
        <is>
          <t>3200X1640X30</t>
        </is>
      </c>
      <c r="E112" s="10" t="n">
        <v>3</v>
      </c>
      <c r="F112" s="11" t="n"/>
      <c r="G112" s="5" t="n">
        <v>1050</v>
      </c>
      <c r="H112" s="5" t="n">
        <v>1086</v>
      </c>
      <c r="I112" s="4" t="inlineStr"/>
      <c r="J112" s="5">
        <f>IF(F112&lt;&gt;"",F112*Assumptions!$B$4,"")</f>
        <v/>
      </c>
      <c r="K112" s="5">
        <f>IF(F112&lt;&gt;"",F112,"")</f>
        <v/>
      </c>
      <c r="L112" s="5">
        <f>IF(G112&lt;&gt;"",G112,F112)</f>
        <v/>
      </c>
      <c r="M112" s="5">
        <f>IF(E112&lt;&gt;"",E112*J112,"")</f>
        <v/>
      </c>
      <c r="N112" s="5">
        <f>IF(E112&lt;&gt;"",E112*K112,"")</f>
        <v/>
      </c>
      <c r="O112" s="5">
        <f>IF(E112&lt;&gt;"",E112*L112,"")</f>
        <v/>
      </c>
    </row>
    <row r="113">
      <c r="A113" s="4" t="inlineStr">
        <is>
          <t>Quartz 30mm (Quartzforms)</t>
        </is>
      </c>
      <c r="B113" s="4" t="inlineStr">
        <is>
          <t>BREEZE HULL</t>
        </is>
      </c>
      <c r="C113" s="4" t="inlineStr">
        <is>
          <t>GERMANY</t>
        </is>
      </c>
      <c r="D113" s="4" t="inlineStr">
        <is>
          <t>3050X1400X30</t>
        </is>
      </c>
      <c r="E113" s="10" t="n">
        <v>3</v>
      </c>
      <c r="F113" s="11" t="n"/>
      <c r="G113" s="5" t="n">
        <v>1050</v>
      </c>
      <c r="H113" s="5" t="n">
        <v>1141</v>
      </c>
      <c r="I113" s="4" t="inlineStr"/>
      <c r="J113" s="5">
        <f>IF(F113&lt;&gt;"",F113*Assumptions!$B$4,"")</f>
        <v/>
      </c>
      <c r="K113" s="5">
        <f>IF(F113&lt;&gt;"",F113,"")</f>
        <v/>
      </c>
      <c r="L113" s="5">
        <f>IF(G113&lt;&gt;"",G113,F113)</f>
        <v/>
      </c>
      <c r="M113" s="5">
        <f>IF(E113&lt;&gt;"",E113*J113,"")</f>
        <v/>
      </c>
      <c r="N113" s="5">
        <f>IF(E113&lt;&gt;"",E113*K113,"")</f>
        <v/>
      </c>
      <c r="O113" s="5">
        <f>IF(E113&lt;&gt;"",E113*L113,"")</f>
        <v/>
      </c>
    </row>
    <row r="114">
      <c r="A114" s="4" t="inlineStr">
        <is>
          <t>Quartz 30mm (Quartzforms)</t>
        </is>
      </c>
      <c r="B114" s="4" t="inlineStr">
        <is>
          <t>BLONE BREEZE</t>
        </is>
      </c>
      <c r="C114" s="4" t="inlineStr">
        <is>
          <t>GERMANY</t>
        </is>
      </c>
      <c r="D114" s="4" t="inlineStr">
        <is>
          <t>3050X1400X30</t>
        </is>
      </c>
      <c r="E114" s="10" t="n">
        <v>3</v>
      </c>
      <c r="F114" s="11" t="n"/>
      <c r="G114" s="5" t="n">
        <v>1050</v>
      </c>
      <c r="H114" s="5" t="n">
        <v>1141</v>
      </c>
      <c r="I114" s="4" t="inlineStr"/>
      <c r="J114" s="5">
        <f>IF(F114&lt;&gt;"",F114*Assumptions!$B$4,"")</f>
        <v/>
      </c>
      <c r="K114" s="5">
        <f>IF(F114&lt;&gt;"",F114,"")</f>
        <v/>
      </c>
      <c r="L114" s="5">
        <f>IF(G114&lt;&gt;"",G114,F114)</f>
        <v/>
      </c>
      <c r="M114" s="5">
        <f>IF(E114&lt;&gt;"",E114*J114,"")</f>
        <v/>
      </c>
      <c r="N114" s="5">
        <f>IF(E114&lt;&gt;"",E114*K114,"")</f>
        <v/>
      </c>
      <c r="O114" s="5">
        <f>IF(E114&lt;&gt;"",E114*L114,"")</f>
        <v/>
      </c>
    </row>
    <row r="115">
      <c r="A115" s="4" t="inlineStr">
        <is>
          <t>Marble 20mm</t>
        </is>
      </c>
      <c r="B115" s="4" t="inlineStr">
        <is>
          <t>MARBLE ROSSO LAPENTO</t>
        </is>
      </c>
      <c r="C115" s="4" t="inlineStr">
        <is>
          <t>ITALY</t>
        </is>
      </c>
      <c r="D115" s="4" t="inlineStr">
        <is>
          <t>300x210x2cm</t>
        </is>
      </c>
      <c r="E115" s="10" t="n">
        <v>11</v>
      </c>
      <c r="F115" s="11" t="n"/>
      <c r="G115" s="5" t="n">
        <v>790</v>
      </c>
      <c r="H115" s="11" t="n"/>
      <c r="I115" s="4" t="inlineStr">
        <is>
          <t>Not on June 2025 list</t>
        </is>
      </c>
      <c r="J115" s="5">
        <f>IF(F115&lt;&gt;"",F115*Assumptions!$B$4,"")</f>
        <v/>
      </c>
      <c r="K115" s="5">
        <f>IF(F115&lt;&gt;"",F115,"")</f>
        <v/>
      </c>
      <c r="L115" s="5">
        <f>IF(G115&lt;&gt;"",G115,F115)</f>
        <v/>
      </c>
      <c r="M115" s="5">
        <f>IF(E115&lt;&gt;"",E115*J115,"")</f>
        <v/>
      </c>
      <c r="N115" s="5">
        <f>IF(E115&lt;&gt;"",E115*K115,"")</f>
        <v/>
      </c>
      <c r="O115" s="5">
        <f>IF(E115&lt;&gt;"",E115*L115,"")</f>
        <v/>
      </c>
    </row>
    <row r="116">
      <c r="A116" s="4" t="inlineStr">
        <is>
          <t>Marble 20mm</t>
        </is>
      </c>
      <c r="B116" s="4" t="inlineStr">
        <is>
          <t>MARBLE GREEN JADE</t>
        </is>
      </c>
      <c r="C116" s="4" t="inlineStr">
        <is>
          <t>ITALY</t>
        </is>
      </c>
      <c r="D116" s="4" t="inlineStr">
        <is>
          <t>310x200x2cm</t>
        </is>
      </c>
      <c r="E116" s="10" t="n">
        <v>7</v>
      </c>
      <c r="F116" s="11" t="n"/>
      <c r="G116" s="5" t="n">
        <v>790</v>
      </c>
      <c r="H116" s="11" t="n"/>
      <c r="I116" s="4" t="inlineStr">
        <is>
          <t>Not on June 2025 list</t>
        </is>
      </c>
      <c r="J116" s="5">
        <f>IF(F116&lt;&gt;"",F116*Assumptions!$B$4,"")</f>
        <v/>
      </c>
      <c r="K116" s="5">
        <f>IF(F116&lt;&gt;"",F116,"")</f>
        <v/>
      </c>
      <c r="L116" s="5">
        <f>IF(G116&lt;&gt;"",G116,F116)</f>
        <v/>
      </c>
      <c r="M116" s="5">
        <f>IF(E116&lt;&gt;"",E116*J116,"")</f>
        <v/>
      </c>
      <c r="N116" s="5">
        <f>IF(E116&lt;&gt;"",E116*K116,"")</f>
        <v/>
      </c>
      <c r="O116" s="5">
        <f>IF(E116&lt;&gt;"",E116*L116,"")</f>
        <v/>
      </c>
    </row>
    <row r="117">
      <c r="A117" s="4" t="inlineStr">
        <is>
          <t>Marble 20mm</t>
        </is>
      </c>
      <c r="B117" s="4" t="inlineStr">
        <is>
          <t>MARBLE APPENINO GREY</t>
        </is>
      </c>
      <c r="C117" s="4" t="inlineStr">
        <is>
          <t>ITALY</t>
        </is>
      </c>
      <c r="D117" s="4" t="inlineStr">
        <is>
          <t>189x272x2cm</t>
        </is>
      </c>
      <c r="E117" s="10" t="n">
        <v>10</v>
      </c>
      <c r="F117" s="11" t="n"/>
      <c r="G117" s="5" t="n">
        <v>570</v>
      </c>
      <c r="H117" s="11" t="n"/>
      <c r="I117" s="4" t="inlineStr">
        <is>
          <t>Not on June 2025 list</t>
        </is>
      </c>
      <c r="J117" s="5">
        <f>IF(F117&lt;&gt;"",F117*Assumptions!$B$4,"")</f>
        <v/>
      </c>
      <c r="K117" s="5">
        <f>IF(F117&lt;&gt;"",F117,"")</f>
        <v/>
      </c>
      <c r="L117" s="5">
        <f>IF(G117&lt;&gt;"",G117,F117)</f>
        <v/>
      </c>
      <c r="M117" s="5">
        <f>IF(E117&lt;&gt;"",E117*J117,"")</f>
        <v/>
      </c>
      <c r="N117" s="5">
        <f>IF(E117&lt;&gt;"",E117*K117,"")</f>
        <v/>
      </c>
      <c r="O117" s="5">
        <f>IF(E117&lt;&gt;"",E117*L117,"")</f>
        <v/>
      </c>
    </row>
    <row r="118">
      <c r="A118" s="4" t="inlineStr">
        <is>
          <t>Marble 20mm</t>
        </is>
      </c>
      <c r="B118" s="4" t="inlineStr">
        <is>
          <t>MARBLE BRUNO PERLA</t>
        </is>
      </c>
      <c r="C118" s="4" t="inlineStr">
        <is>
          <t>ITALY</t>
        </is>
      </c>
      <c r="D118" s="4" t="inlineStr">
        <is>
          <t>195x255x2cm</t>
        </is>
      </c>
      <c r="E118" s="10" t="n">
        <v>10</v>
      </c>
      <c r="F118" s="11" t="n"/>
      <c r="G118" s="5" t="n">
        <v>420</v>
      </c>
      <c r="H118" s="11" t="n"/>
      <c r="I118" s="4" t="inlineStr">
        <is>
          <t>Not on June 2025 list</t>
        </is>
      </c>
      <c r="J118" s="5">
        <f>IF(F118&lt;&gt;"",F118*Assumptions!$B$4,"")</f>
        <v/>
      </c>
      <c r="K118" s="5">
        <f>IF(F118&lt;&gt;"",F118,"")</f>
        <v/>
      </c>
      <c r="L118" s="5">
        <f>IF(G118&lt;&gt;"",G118,F118)</f>
        <v/>
      </c>
      <c r="M118" s="5">
        <f>IF(E118&lt;&gt;"",E118*J118,"")</f>
        <v/>
      </c>
      <c r="N118" s="5">
        <f>IF(E118&lt;&gt;"",E118*K118,"")</f>
        <v/>
      </c>
      <c r="O118" s="5">
        <f>IF(E118&lt;&gt;"",E118*L118,"")</f>
        <v/>
      </c>
    </row>
    <row r="119">
      <c r="A119" s="4" t="inlineStr">
        <is>
          <t>Ceramic Tile</t>
        </is>
      </c>
      <c r="B119" s="4" t="inlineStr">
        <is>
          <t>INDIA CERAMIC TILES</t>
        </is>
      </c>
      <c r="C119" s="4" t="inlineStr">
        <is>
          <t>INDIA</t>
        </is>
      </c>
      <c r="D119" s="4" t="inlineStr">
        <is>
          <t>300x600</t>
        </is>
      </c>
      <c r="E119" s="10" t="n">
        <v>100000</v>
      </c>
      <c r="F119" s="11" t="n"/>
      <c r="G119" s="5" t="n">
        <v>0.59</v>
      </c>
      <c r="H119" s="11" t="n"/>
      <c r="I119" s="4" t="inlineStr">
        <is>
          <t>Unit = piece; ~ full container lots</t>
        </is>
      </c>
      <c r="J119" s="5">
        <f>IF(F119&lt;&gt;"",F119*Assumptions!$B$4,"")</f>
        <v/>
      </c>
      <c r="K119" s="5">
        <f>IF(F119&lt;&gt;"",F119,"")</f>
        <v/>
      </c>
      <c r="L119" s="5">
        <f>IF(G119&lt;&gt;"",G119,F119)</f>
        <v/>
      </c>
      <c r="M119" s="5">
        <f>IF(E119&lt;&gt;"",E119*J119,"")</f>
        <v/>
      </c>
      <c r="N119" s="5">
        <f>IF(E119&lt;&gt;"",E119*K119,"")</f>
        <v/>
      </c>
      <c r="O119" s="5">
        <f>IF(E119&lt;&gt;"",E119*L119,"")</f>
        <v/>
      </c>
    </row>
    <row r="120">
      <c r="A120" s="4" t="inlineStr">
        <is>
          <t>Handling</t>
        </is>
      </c>
      <c r="B120" s="4" t="inlineStr">
        <is>
          <t>A FRAMES (steel)</t>
        </is>
      </c>
      <c r="C120" s="4" t="inlineStr">
        <is>
          <t>VIETNAM</t>
        </is>
      </c>
      <c r="D120" s="4" t="inlineStr"/>
      <c r="E120" s="10" t="n">
        <v>80</v>
      </c>
      <c r="F120" s="11" t="n"/>
      <c r="G120" s="5" t="n">
        <v>220</v>
      </c>
      <c r="H120" s="11" t="n"/>
      <c r="I120" s="4" t="inlineStr">
        <is>
          <t>Slab transport A-frames</t>
        </is>
      </c>
      <c r="J120" s="5">
        <f>IF(F120&lt;&gt;"",F120*Assumptions!$B$4,"")</f>
        <v/>
      </c>
      <c r="K120" s="5">
        <f>IF(F120&lt;&gt;"",F120,"")</f>
        <v/>
      </c>
      <c r="L120" s="5">
        <f>IF(G120&lt;&gt;"",G120,F120)</f>
        <v/>
      </c>
      <c r="M120" s="5">
        <f>IF(E120&lt;&gt;"",E120*J120,"")</f>
        <v/>
      </c>
      <c r="N120" s="5">
        <f>IF(E120&lt;&gt;"",E120*K120,"")</f>
        <v/>
      </c>
      <c r="O120" s="5">
        <f>IF(E120&lt;&gt;"",E120*L120,"")</f>
        <v/>
      </c>
    </row>
    <row r="121">
      <c r="A121" s="6" t="inlineStr">
        <is>
          <t>TOTAL</t>
        </is>
      </c>
      <c r="E121" s="10">
        <f>SUM(E4:E120)</f>
        <v/>
      </c>
      <c r="F121" s="11" t="n"/>
      <c r="G121" s="11" t="n"/>
      <c r="H121" s="11" t="n"/>
      <c r="J121" s="11" t="n"/>
      <c r="K121" s="11" t="n"/>
      <c r="L121" s="11" t="n"/>
      <c r="M121" s="7">
        <f>SUM(M4:M120)</f>
        <v/>
      </c>
      <c r="N121" s="7">
        <f>SUM(N4:N120)</f>
        <v/>
      </c>
      <c r="O121" s="7">
        <f>SUM(O4:O120)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44" customWidth="1" min="2" max="2"/>
    <col width="12" customWidth="1" min="3" max="3"/>
    <col width="24" customWidth="1" min="4" max="4"/>
    <col width="10" customWidth="1" min="5" max="5"/>
    <col width="11" customWidth="1" min="6" max="6"/>
    <col width="13" customWidth="1" min="7" max="7"/>
    <col width="14" customWidth="1" min="8" max="8"/>
    <col width="34" customWidth="1" min="9" max="9"/>
    <col width="12" customWidth="1" min="10" max="10"/>
    <col width="12" customWidth="1" min="11" max="11"/>
    <col width="12" customWidth="1" min="12" max="12"/>
    <col width="18" customWidth="1" min="13" max="13"/>
  </cols>
  <sheetData>
    <row r="1">
      <c r="A1" s="9" t="inlineStr">
        <is>
          <t>FORKLIFT &amp; WAREHOUSE EQUIPMENT (BZ International Trade LLC - 2024 stock summary; On-hand flag = May 2026 file)</t>
        </is>
      </c>
    </row>
    <row r="2"/>
    <row r="3">
      <c r="A3" s="3" t="inlineStr">
        <is>
          <t>Category</t>
        </is>
      </c>
      <c r="B3" s="3" t="inlineStr">
        <is>
          <t>Item</t>
        </is>
      </c>
      <c r="C3" s="3" t="inlineStr">
        <is>
          <t>Brand</t>
        </is>
      </c>
      <c r="D3" s="3" t="inlineStr">
        <is>
          <t>Vendor</t>
        </is>
      </c>
      <c r="E3" s="3" t="inlineStr">
        <is>
          <t>Qty_2024</t>
        </is>
      </c>
      <c r="F3" s="3" t="inlineStr">
        <is>
          <t>UnitCost</t>
        </is>
      </c>
      <c r="G3" s="3" t="inlineStr">
        <is>
          <t>SalesListPrice</t>
        </is>
      </c>
      <c r="H3" s="3" t="inlineStr">
        <is>
          <t>OnHand_May2026</t>
        </is>
      </c>
      <c r="I3" s="3" t="inlineStr">
        <is>
          <t>Notes</t>
        </is>
      </c>
      <c r="J3" s="3" t="inlineStr">
        <is>
          <t>Quick $/unit</t>
        </is>
      </c>
      <c r="K3" s="3" t="inlineStr">
        <is>
          <t>Mid $/unit</t>
        </is>
      </c>
      <c r="L3" s="3" t="inlineStr">
        <is>
          <t>Slow $/unit</t>
        </is>
      </c>
      <c r="M3" s="3" t="inlineStr">
        <is>
          <t>Line Total @ Mid (on-hand only)</t>
        </is>
      </c>
    </row>
    <row r="4">
      <c r="A4" s="4" t="inlineStr">
        <is>
          <t>Forklift Diesel/LPG</t>
        </is>
      </c>
      <c r="B4" s="4" t="inlineStr">
        <is>
          <t>LK LG30GLT Forklift (3.0t gas/LPG)</t>
        </is>
      </c>
      <c r="C4" s="4" t="inlineStr">
        <is>
          <t>LONKING</t>
        </is>
      </c>
      <c r="D4" s="4" t="inlineStr">
        <is>
          <t>LONKING INTERNATIONAL</t>
        </is>
      </c>
      <c r="E4" s="4" t="n">
        <v>1</v>
      </c>
      <c r="F4" s="5" t="n">
        <v>22515</v>
      </c>
      <c r="G4" s="5" t="n">
        <v>29890</v>
      </c>
      <c r="H4" s="4" t="inlineStr">
        <is>
          <t>No</t>
        </is>
      </c>
      <c r="I4" s="4" t="inlineStr">
        <is>
          <t>Not in May 2026 file - verify if sold</t>
        </is>
      </c>
      <c r="J4" s="5">
        <f>IF(F4&lt;&gt;"",F4*Assumptions!$B$7,"")</f>
        <v/>
      </c>
      <c r="K4" s="5">
        <f>IF(F4&lt;&gt;"",F4*Assumptions!$B$8,"")</f>
        <v/>
      </c>
      <c r="L4" s="5">
        <f>IF(G4&lt;&gt;"",G4,IF(F4&lt;&gt;"",F4*0.95,""))</f>
        <v/>
      </c>
      <c r="M4" s="5">
        <f>IF(H4="Yes",E4*K4,0)</f>
        <v/>
      </c>
    </row>
    <row r="5">
      <c r="A5" s="4" t="inlineStr">
        <is>
          <t>Forklift Diesel/LPG</t>
        </is>
      </c>
      <c r="B5" s="4" t="inlineStr">
        <is>
          <t>LK LG35GLT Forklift (3.5t gas/LPG)</t>
        </is>
      </c>
      <c r="C5" s="4" t="inlineStr">
        <is>
          <t>LONKING</t>
        </is>
      </c>
      <c r="D5" s="4" t="inlineStr">
        <is>
          <t>LONKING INTERNATIONAL</t>
        </is>
      </c>
      <c r="E5" s="4" t="n">
        <v>1</v>
      </c>
      <c r="F5" s="5" t="n">
        <v>24700</v>
      </c>
      <c r="G5" s="5" t="n">
        <v>31890</v>
      </c>
      <c r="H5" s="4" t="inlineStr">
        <is>
          <t>No</t>
        </is>
      </c>
      <c r="I5" s="4" t="inlineStr">
        <is>
          <t>Not in May 2026 file - verify if sold</t>
        </is>
      </c>
      <c r="J5" s="5">
        <f>IF(F5&lt;&gt;"",F5*Assumptions!$B$7,"")</f>
        <v/>
      </c>
      <c r="K5" s="5">
        <f>IF(F5&lt;&gt;"",F5*Assumptions!$B$8,"")</f>
        <v/>
      </c>
      <c r="L5" s="5">
        <f>IF(G5&lt;&gt;"",G5,IF(F5&lt;&gt;"",F5*0.95,""))</f>
        <v/>
      </c>
      <c r="M5" s="5">
        <f>IF(H5="Yes",E5*K5,0)</f>
        <v/>
      </c>
    </row>
    <row r="6">
      <c r="A6" s="4" t="inlineStr">
        <is>
          <t>Forklift Electric</t>
        </is>
      </c>
      <c r="B6" s="4" t="inlineStr">
        <is>
          <t>LK LG30B Forklift (3.0t electric)</t>
        </is>
      </c>
      <c r="C6" s="4" t="inlineStr">
        <is>
          <t>LONKING</t>
        </is>
      </c>
      <c r="D6" s="4" t="inlineStr">
        <is>
          <t>LONKING INTERNATIONAL</t>
        </is>
      </c>
      <c r="E6" s="4" t="n">
        <v>1</v>
      </c>
      <c r="F6" s="5" t="n">
        <v>25800</v>
      </c>
      <c r="G6" s="5" t="n">
        <v>34690</v>
      </c>
      <c r="H6" s="4" t="inlineStr">
        <is>
          <t>No</t>
        </is>
      </c>
      <c r="I6" s="4" t="inlineStr">
        <is>
          <t>Not in May 2026 file - verify if sold</t>
        </is>
      </c>
      <c r="J6" s="5">
        <f>IF(F6&lt;&gt;"",F6*Assumptions!$B$7,"")</f>
        <v/>
      </c>
      <c r="K6" s="5">
        <f>IF(F6&lt;&gt;"",F6*Assumptions!$B$8,"")</f>
        <v/>
      </c>
      <c r="L6" s="5">
        <f>IF(G6&lt;&gt;"",G6,IF(F6&lt;&gt;"",F6*0.95,""))</f>
        <v/>
      </c>
      <c r="M6" s="5">
        <f>IF(H6="Yes",E6*K6,0)</f>
        <v/>
      </c>
    </row>
    <row r="7">
      <c r="A7" s="4" t="inlineStr">
        <is>
          <t>Forklift Electric</t>
        </is>
      </c>
      <c r="B7" s="4" t="inlineStr">
        <is>
          <t>LK LG35B Forklift (3.5t electric)</t>
        </is>
      </c>
      <c r="C7" s="4" t="inlineStr">
        <is>
          <t>LONKING</t>
        </is>
      </c>
      <c r="D7" s="4" t="inlineStr">
        <is>
          <t>LONKING INTERNATIONAL</t>
        </is>
      </c>
      <c r="E7" s="4" t="n">
        <v>1</v>
      </c>
      <c r="F7" s="5" t="n">
        <v>26600</v>
      </c>
      <c r="G7" s="5" t="n">
        <v>35690</v>
      </c>
      <c r="H7" s="4" t="inlineStr">
        <is>
          <t>No</t>
        </is>
      </c>
      <c r="I7" s="4" t="inlineStr">
        <is>
          <t>Not in May 2026 file - verify if sold</t>
        </is>
      </c>
      <c r="J7" s="5">
        <f>IF(F7&lt;&gt;"",F7*Assumptions!$B$7,"")</f>
        <v/>
      </c>
      <c r="K7" s="5">
        <f>IF(F7&lt;&gt;"",F7*Assumptions!$B$8,"")</f>
        <v/>
      </c>
      <c r="L7" s="5">
        <f>IF(G7&lt;&gt;"",G7,IF(F7&lt;&gt;"",F7*0.95,""))</f>
        <v/>
      </c>
      <c r="M7" s="5">
        <f>IF(H7="Yes",E7*K7,0)</f>
        <v/>
      </c>
    </row>
    <row r="8">
      <c r="A8" s="4" t="inlineStr">
        <is>
          <t>Forklift Electric</t>
        </is>
      </c>
      <c r="B8" s="4" t="inlineStr">
        <is>
          <t>LK LG50B Forklift (5.0t electric)</t>
        </is>
      </c>
      <c r="C8" s="4" t="inlineStr">
        <is>
          <t>LONKING</t>
        </is>
      </c>
      <c r="D8" s="4" t="inlineStr">
        <is>
          <t>LONKING INTERNATIONAL</t>
        </is>
      </c>
      <c r="E8" s="4" t="n">
        <v>1</v>
      </c>
      <c r="F8" s="5" t="n">
        <v>38700</v>
      </c>
      <c r="G8" s="5" t="n">
        <v>58690</v>
      </c>
      <c r="H8" s="4" t="inlineStr">
        <is>
          <t>No</t>
        </is>
      </c>
      <c r="I8" s="4" t="inlineStr">
        <is>
          <t>Not in May 2026 file - verify if sold</t>
        </is>
      </c>
      <c r="J8" s="5">
        <f>IF(F8&lt;&gt;"",F8*Assumptions!$B$7,"")</f>
        <v/>
      </c>
      <c r="K8" s="5">
        <f>IF(F8&lt;&gt;"",F8*Assumptions!$B$8,"")</f>
        <v/>
      </c>
      <c r="L8" s="5">
        <f>IF(G8&lt;&gt;"",G8,IF(F8&lt;&gt;"",F8*0.95,""))</f>
        <v/>
      </c>
      <c r="M8" s="5">
        <f>IF(H8="Yes",E8*K8,0)</f>
        <v/>
      </c>
    </row>
    <row r="9">
      <c r="A9" s="4" t="inlineStr">
        <is>
          <t>Pallet Truck</t>
        </is>
      </c>
      <c r="B9" s="4" t="inlineStr">
        <is>
          <t>ZW XPA20 Electric Pallet Truck</t>
        </is>
      </c>
      <c r="C9" s="4" t="inlineStr">
        <is>
          <t>ZOWELL</t>
        </is>
      </c>
      <c r="D9" s="4" t="inlineStr">
        <is>
          <t>SUZHOU PIONEER MATERIAL</t>
        </is>
      </c>
      <c r="E9" s="4" t="n">
        <v>3</v>
      </c>
      <c r="F9" s="5" t="n">
        <v>6800</v>
      </c>
      <c r="G9" s="5" t="n">
        <v>8790</v>
      </c>
      <c r="H9" s="4" t="inlineStr">
        <is>
          <t>Yes</t>
        </is>
      </c>
      <c r="I9" s="4" t="inlineStr"/>
      <c r="J9" s="5">
        <f>IF(F9&lt;&gt;"",F9*Assumptions!$B$7,"")</f>
        <v/>
      </c>
      <c r="K9" s="5">
        <f>IF(F9&lt;&gt;"",F9*Assumptions!$B$8,"")</f>
        <v/>
      </c>
      <c r="L9" s="5">
        <f>IF(G9&lt;&gt;"",G9,IF(F9&lt;&gt;"",F9*0.95,""))</f>
        <v/>
      </c>
      <c r="M9" s="5">
        <f>IF(H9="Yes",E9*K9,0)</f>
        <v/>
      </c>
    </row>
    <row r="10">
      <c r="A10" s="4" t="inlineStr">
        <is>
          <t>Pallet Truck</t>
        </is>
      </c>
      <c r="B10" s="4" t="inlineStr">
        <is>
          <t>ZW XPA25 Electric Pallet Truck</t>
        </is>
      </c>
      <c r="C10" s="4" t="inlineStr">
        <is>
          <t>ZOWELL</t>
        </is>
      </c>
      <c r="D10" s="4" t="inlineStr">
        <is>
          <t>SUZHOU PIONEER MATERIAL</t>
        </is>
      </c>
      <c r="E10" s="4" t="n">
        <v>3</v>
      </c>
      <c r="F10" s="5" t="n">
        <v>7100</v>
      </c>
      <c r="G10" s="5" t="n">
        <v>9290</v>
      </c>
      <c r="H10" s="4" t="inlineStr">
        <is>
          <t>Yes</t>
        </is>
      </c>
      <c r="I10" s="4" t="inlineStr"/>
      <c r="J10" s="5">
        <f>IF(F10&lt;&gt;"",F10*Assumptions!$B$7,"")</f>
        <v/>
      </c>
      <c r="K10" s="5">
        <f>IF(F10&lt;&gt;"",F10*Assumptions!$B$8,"")</f>
        <v/>
      </c>
      <c r="L10" s="5">
        <f>IF(G10&lt;&gt;"",G10,IF(F10&lt;&gt;"",F10*0.95,""))</f>
        <v/>
      </c>
      <c r="M10" s="5">
        <f>IF(H10="Yes",E10*K10,0)</f>
        <v/>
      </c>
    </row>
    <row r="11">
      <c r="A11" s="4" t="inlineStr">
        <is>
          <t>Towing Tractor</t>
        </is>
      </c>
      <c r="B11" s="4" t="inlineStr">
        <is>
          <t>ZW XTE50 Electric Towing Tractor</t>
        </is>
      </c>
      <c r="C11" s="4" t="inlineStr">
        <is>
          <t>ZOWELL</t>
        </is>
      </c>
      <c r="D11" s="4" t="inlineStr">
        <is>
          <t>SUZHOU PIONEER MATERIAL</t>
        </is>
      </c>
      <c r="E11" s="4" t="n">
        <v>2</v>
      </c>
      <c r="F11" s="5" t="n">
        <v>11500</v>
      </c>
      <c r="G11" s="5" t="n">
        <v>14890</v>
      </c>
      <c r="H11" s="4" t="inlineStr">
        <is>
          <t>Yes</t>
        </is>
      </c>
      <c r="I11" s="4" t="inlineStr"/>
      <c r="J11" s="5">
        <f>IF(F11&lt;&gt;"",F11*Assumptions!$B$7,"")</f>
        <v/>
      </c>
      <c r="K11" s="5">
        <f>IF(F11&lt;&gt;"",F11*Assumptions!$B$8,"")</f>
        <v/>
      </c>
      <c r="L11" s="5">
        <f>IF(G11&lt;&gt;"",G11,IF(F11&lt;&gt;"",F11*0.95,""))</f>
        <v/>
      </c>
      <c r="M11" s="5">
        <f>IF(H11="Yes",E11*K11,0)</f>
        <v/>
      </c>
    </row>
    <row r="12">
      <c r="A12" s="4" t="inlineStr">
        <is>
          <t>Forklift Diesel</t>
        </is>
      </c>
      <c r="B12" s="4" t="inlineStr">
        <is>
          <t>HU CPCD30 Forklift (3.0t diesel)</t>
        </is>
      </c>
      <c r="C12" s="4" t="inlineStr">
        <is>
          <t>HUAYA</t>
        </is>
      </c>
      <c r="D12" s="4" t="inlineStr">
        <is>
          <t>XINGTAI HUAYA MACHINE</t>
        </is>
      </c>
      <c r="E12" s="4" t="n">
        <v>1</v>
      </c>
      <c r="F12" s="5" t="n">
        <v>23400</v>
      </c>
      <c r="G12" s="11" t="n"/>
      <c r="H12" s="4" t="inlineStr">
        <is>
          <t>No</t>
        </is>
      </c>
      <c r="I12" s="4" t="inlineStr">
        <is>
          <t>Not in May 2026 file - verify if sold</t>
        </is>
      </c>
      <c r="J12" s="5">
        <f>IF(F12&lt;&gt;"",F12*Assumptions!$B$7,"")</f>
        <v/>
      </c>
      <c r="K12" s="5">
        <f>IF(F12&lt;&gt;"",F12*Assumptions!$B$8,"")</f>
        <v/>
      </c>
      <c r="L12" s="5">
        <f>IF(G12&lt;&gt;"",G12,IF(F12&lt;&gt;"",F12*0.95,""))</f>
        <v/>
      </c>
      <c r="M12" s="5">
        <f>IF(H12="Yes",E12*K12,0)</f>
        <v/>
      </c>
    </row>
    <row r="13">
      <c r="A13" s="4" t="inlineStr">
        <is>
          <t>Forklift Diesel</t>
        </is>
      </c>
      <c r="B13" s="4" t="inlineStr">
        <is>
          <t>HU CPCD35 Forklift (3.5t diesel)</t>
        </is>
      </c>
      <c r="C13" s="4" t="inlineStr">
        <is>
          <t>HUAYA</t>
        </is>
      </c>
      <c r="D13" s="4" t="inlineStr">
        <is>
          <t>XINGTAI HUAYA MACHINE</t>
        </is>
      </c>
      <c r="E13" s="4" t="n">
        <v>2</v>
      </c>
      <c r="F13" s="5" t="n">
        <v>24400</v>
      </c>
      <c r="G13" s="11" t="n"/>
      <c r="H13" s="4" t="inlineStr">
        <is>
          <t>Yes</t>
        </is>
      </c>
      <c r="I13" s="4" t="inlineStr"/>
      <c r="J13" s="5">
        <f>IF(F13&lt;&gt;"",F13*Assumptions!$B$7,"")</f>
        <v/>
      </c>
      <c r="K13" s="5">
        <f>IF(F13&lt;&gt;"",F13*Assumptions!$B$8,"")</f>
        <v/>
      </c>
      <c r="L13" s="5">
        <f>IF(G13&lt;&gt;"",G13,IF(F13&lt;&gt;"",F13*0.95,""))</f>
        <v/>
      </c>
      <c r="M13" s="5">
        <f>IF(H13="Yes",E13*K13,0)</f>
        <v/>
      </c>
    </row>
    <row r="14">
      <c r="A14" s="4" t="inlineStr">
        <is>
          <t>Forklift LPG</t>
        </is>
      </c>
      <c r="B14" s="4" t="inlineStr">
        <is>
          <t>HU LPG35 Forklift (3.5t LPG)</t>
        </is>
      </c>
      <c r="C14" s="4" t="inlineStr">
        <is>
          <t>HUAYA</t>
        </is>
      </c>
      <c r="D14" s="4" t="inlineStr">
        <is>
          <t>XINGTAI HUAYA MACHINE</t>
        </is>
      </c>
      <c r="E14" s="4" t="n">
        <v>2</v>
      </c>
      <c r="F14" s="5" t="n">
        <v>27400</v>
      </c>
      <c r="G14" s="11" t="n"/>
      <c r="H14" s="4" t="inlineStr">
        <is>
          <t>No</t>
        </is>
      </c>
      <c r="I14" s="4" t="inlineStr">
        <is>
          <t>Not in May 2026 file - verify if sold</t>
        </is>
      </c>
      <c r="J14" s="5">
        <f>IF(F14&lt;&gt;"",F14*Assumptions!$B$7,"")</f>
        <v/>
      </c>
      <c r="K14" s="5">
        <f>IF(F14&lt;&gt;"",F14*Assumptions!$B$8,"")</f>
        <v/>
      </c>
      <c r="L14" s="5">
        <f>IF(G14&lt;&gt;"",G14,IF(F14&lt;&gt;"",F14*0.95,""))</f>
        <v/>
      </c>
      <c r="M14" s="5">
        <f>IF(H14="Yes",E14*K14,0)</f>
        <v/>
      </c>
    </row>
    <row r="15">
      <c r="A15" s="4" t="inlineStr">
        <is>
          <t>VNA Truck</t>
        </is>
      </c>
      <c r="B15" s="4" t="inlineStr">
        <is>
          <t>ZW VDA116 Electric VNA Truck (rotating forks + camera)</t>
        </is>
      </c>
      <c r="C15" s="4" t="inlineStr">
        <is>
          <t>ZOWELL</t>
        </is>
      </c>
      <c r="D15" s="4" t="inlineStr">
        <is>
          <t>SUZHOU PIONEER MATERIAL</t>
        </is>
      </c>
      <c r="E15" s="4" t="n">
        <v>2</v>
      </c>
      <c r="F15" s="5" t="n">
        <v>53750</v>
      </c>
      <c r="G15" s="11" t="n"/>
      <c r="H15" s="4" t="inlineStr">
        <is>
          <t>No</t>
        </is>
      </c>
      <c r="I15" s="4" t="inlineStr">
        <is>
          <t>High-value unit - verify status</t>
        </is>
      </c>
      <c r="J15" s="5">
        <f>IF(F15&lt;&gt;"",F15*Assumptions!$B$7,"")</f>
        <v/>
      </c>
      <c r="K15" s="5">
        <f>IF(F15&lt;&gt;"",F15*Assumptions!$B$8,"")</f>
        <v/>
      </c>
      <c r="L15" s="5">
        <f>IF(G15&lt;&gt;"",G15,IF(F15&lt;&gt;"",F15*0.95,""))</f>
        <v/>
      </c>
      <c r="M15" s="5">
        <f>IF(H15="Yes",E15*K15,0)</f>
        <v/>
      </c>
    </row>
    <row r="16">
      <c r="A16" s="4" t="inlineStr">
        <is>
          <t>Stacker</t>
        </is>
      </c>
      <c r="B16" s="4" t="inlineStr">
        <is>
          <t>ZW XEB15 Electric Stacker</t>
        </is>
      </c>
      <c r="C16" s="4" t="inlineStr">
        <is>
          <t>ZOWELL</t>
        </is>
      </c>
      <c r="D16" s="4" t="inlineStr">
        <is>
          <t>SUZHOU PIONEER MATERIAL</t>
        </is>
      </c>
      <c r="E16" s="4" t="n">
        <v>1</v>
      </c>
      <c r="F16" s="5" t="n">
        <v>7900</v>
      </c>
      <c r="G16" s="11" t="n"/>
      <c r="H16" s="4" t="inlineStr">
        <is>
          <t>Yes</t>
        </is>
      </c>
      <c r="I16" s="4" t="inlineStr"/>
      <c r="J16" s="5">
        <f>IF(F16&lt;&gt;"",F16*Assumptions!$B$7,"")</f>
        <v/>
      </c>
      <c r="K16" s="5">
        <f>IF(F16&lt;&gt;"",F16*Assumptions!$B$8,"")</f>
        <v/>
      </c>
      <c r="L16" s="5">
        <f>IF(G16&lt;&gt;"",G16,IF(F16&lt;&gt;"",F16*0.95,""))</f>
        <v/>
      </c>
      <c r="M16" s="5">
        <f>IF(H16="Yes",E16*K16,0)</f>
        <v/>
      </c>
    </row>
    <row r="17">
      <c r="A17" s="4" t="inlineStr">
        <is>
          <t>Stacker</t>
        </is>
      </c>
      <c r="B17" s="4" t="inlineStr">
        <is>
          <t>ZW XEA12 Electric Stacker</t>
        </is>
      </c>
      <c r="C17" s="4" t="inlineStr">
        <is>
          <t>ZOWELL</t>
        </is>
      </c>
      <c r="D17" s="4" t="inlineStr">
        <is>
          <t>SUZHOU PIONEER MATERIAL</t>
        </is>
      </c>
      <c r="E17" s="4" t="n">
        <v>3</v>
      </c>
      <c r="F17" s="5" t="n">
        <v>5500</v>
      </c>
      <c r="G17" s="11" t="n"/>
      <c r="H17" s="4" t="inlineStr">
        <is>
          <t>Yes</t>
        </is>
      </c>
      <c r="I17" s="4" t="inlineStr"/>
      <c r="J17" s="5">
        <f>IF(F17&lt;&gt;"",F17*Assumptions!$B$7,"")</f>
        <v/>
      </c>
      <c r="K17" s="5">
        <f>IF(F17&lt;&gt;"",F17*Assumptions!$B$8,"")</f>
        <v/>
      </c>
      <c r="L17" s="5">
        <f>IF(G17&lt;&gt;"",G17,IF(F17&lt;&gt;"",F17*0.95,""))</f>
        <v/>
      </c>
      <c r="M17" s="5">
        <f>IF(H17="Yes",E17*K17,0)</f>
        <v/>
      </c>
    </row>
    <row r="18">
      <c r="A18" s="4" t="inlineStr">
        <is>
          <t>Stacker</t>
        </is>
      </c>
      <c r="B18" s="4" t="inlineStr">
        <is>
          <t>ZW XEK15 Electric Stacker</t>
        </is>
      </c>
      <c r="C18" s="4" t="inlineStr">
        <is>
          <t>ZOWELL</t>
        </is>
      </c>
      <c r="D18" s="4" t="inlineStr">
        <is>
          <t>SUZHOU PIONEER MATERIAL</t>
        </is>
      </c>
      <c r="E18" s="4" t="n">
        <v>1</v>
      </c>
      <c r="F18" s="5" t="n">
        <v>11800</v>
      </c>
      <c r="G18" s="11" t="n"/>
      <c r="H18" s="4" t="inlineStr">
        <is>
          <t>Yes</t>
        </is>
      </c>
      <c r="I18" s="4" t="inlineStr"/>
      <c r="J18" s="5">
        <f>IF(F18&lt;&gt;"",F18*Assumptions!$B$7,"")</f>
        <v/>
      </c>
      <c r="K18" s="5">
        <f>IF(F18&lt;&gt;"",F18*Assumptions!$B$8,"")</f>
        <v/>
      </c>
      <c r="L18" s="5">
        <f>IF(G18&lt;&gt;"",G18,IF(F18&lt;&gt;"",F18*0.95,""))</f>
        <v/>
      </c>
      <c r="M18" s="5">
        <f>IF(H18="Yes",E18*K18,0)</f>
        <v/>
      </c>
    </row>
    <row r="19">
      <c r="A19" s="4" t="inlineStr">
        <is>
          <t>Reach Truck</t>
        </is>
      </c>
      <c r="B19" s="4" t="inlineStr">
        <is>
          <t>ZW RRE115 Electric Double-Deep Reach Truck</t>
        </is>
      </c>
      <c r="C19" s="4" t="inlineStr">
        <is>
          <t>ZOWELL</t>
        </is>
      </c>
      <c r="D19" s="4" t="inlineStr">
        <is>
          <t>SUZHOU PIONEER MATERIAL</t>
        </is>
      </c>
      <c r="E19" s="4" t="n">
        <v>1</v>
      </c>
      <c r="F19" s="5" t="n">
        <v>47400</v>
      </c>
      <c r="G19" s="11" t="n"/>
      <c r="H19" s="4" t="inlineStr">
        <is>
          <t>No</t>
        </is>
      </c>
      <c r="I19" s="4" t="inlineStr">
        <is>
          <t>High-value unit - verify status</t>
        </is>
      </c>
      <c r="J19" s="5">
        <f>IF(F19&lt;&gt;"",F19*Assumptions!$B$7,"")</f>
        <v/>
      </c>
      <c r="K19" s="5">
        <f>IF(F19&lt;&gt;"",F19*Assumptions!$B$8,"")</f>
        <v/>
      </c>
      <c r="L19" s="5">
        <f>IF(G19&lt;&gt;"",G19,IF(F19&lt;&gt;"",F19*0.95,""))</f>
        <v/>
      </c>
      <c r="M19" s="5">
        <f>IF(H19="Yes",E19*K19,0)</f>
        <v/>
      </c>
    </row>
    <row r="20">
      <c r="A20" s="4" t="inlineStr">
        <is>
          <t>Reach Truck</t>
        </is>
      </c>
      <c r="B20" s="4" t="inlineStr">
        <is>
          <t>ZW FRC15 Electric Reach Truck</t>
        </is>
      </c>
      <c r="C20" s="4" t="inlineStr">
        <is>
          <t>ZOWELL</t>
        </is>
      </c>
      <c r="D20" s="4" t="inlineStr">
        <is>
          <t>SUZHOU PIONEER MATERIAL</t>
        </is>
      </c>
      <c r="E20" s="4" t="n">
        <v>2</v>
      </c>
      <c r="F20" s="5" t="n">
        <v>15150</v>
      </c>
      <c r="G20" s="11" t="n"/>
      <c r="H20" s="4" t="inlineStr">
        <is>
          <t>Yes</t>
        </is>
      </c>
      <c r="I20" s="4" t="inlineStr"/>
      <c r="J20" s="5">
        <f>IF(F20&lt;&gt;"",F20*Assumptions!$B$7,"")</f>
        <v/>
      </c>
      <c r="K20" s="5">
        <f>IF(F20&lt;&gt;"",F20*Assumptions!$B$8,"")</f>
        <v/>
      </c>
      <c r="L20" s="5">
        <f>IF(G20&lt;&gt;"",G20,IF(F20&lt;&gt;"",F20*0.95,""))</f>
        <v/>
      </c>
      <c r="M20" s="5">
        <f>IF(H20="Yes",E20*K20,0)</f>
        <v/>
      </c>
    </row>
    <row r="21">
      <c r="A21" s="4" t="inlineStr">
        <is>
          <t>Stacker</t>
        </is>
      </c>
      <c r="B21" s="4" t="inlineStr">
        <is>
          <t>ZW XE20 Electric Stacker</t>
        </is>
      </c>
      <c r="C21" s="4" t="inlineStr">
        <is>
          <t>ZOWELL</t>
        </is>
      </c>
      <c r="D21" s="4" t="inlineStr">
        <is>
          <t>SUZHOU PIONEER MATERIAL</t>
        </is>
      </c>
      <c r="E21" s="4" t="n">
        <v>2</v>
      </c>
      <c r="F21" s="5" t="n">
        <v>9100</v>
      </c>
      <c r="G21" s="11" t="n"/>
      <c r="H21" s="4" t="inlineStr">
        <is>
          <t>Yes</t>
        </is>
      </c>
      <c r="I21" s="4" t="inlineStr"/>
      <c r="J21" s="5">
        <f>IF(F21&lt;&gt;"",F21*Assumptions!$B$7,"")</f>
        <v/>
      </c>
      <c r="K21" s="5">
        <f>IF(F21&lt;&gt;"",F21*Assumptions!$B$8,"")</f>
        <v/>
      </c>
      <c r="L21" s="5">
        <f>IF(G21&lt;&gt;"",G21,IF(F21&lt;&gt;"",F21*0.95,""))</f>
        <v/>
      </c>
      <c r="M21" s="5">
        <f>IF(H21="Yes",E21*K21,0)</f>
        <v/>
      </c>
    </row>
    <row r="22">
      <c r="A22" s="4" t="inlineStr">
        <is>
          <t>Stacker</t>
        </is>
      </c>
      <c r="B22" s="4" t="inlineStr">
        <is>
          <t>ZW XEBK15 Electric Stacker</t>
        </is>
      </c>
      <c r="C22" s="4" t="inlineStr">
        <is>
          <t>ZOWELL</t>
        </is>
      </c>
      <c r="D22" s="4" t="inlineStr">
        <is>
          <t>SUZHOU PIONEER MATERIAL</t>
        </is>
      </c>
      <c r="E22" s="4" t="n">
        <v>2</v>
      </c>
      <c r="F22" s="5" t="n">
        <v>10700</v>
      </c>
      <c r="G22" s="11" t="n"/>
      <c r="H22" s="4" t="inlineStr">
        <is>
          <t>Yes</t>
        </is>
      </c>
      <c r="I22" s="4" t="inlineStr"/>
      <c r="J22" s="5">
        <f>IF(F22&lt;&gt;"",F22*Assumptions!$B$7,"")</f>
        <v/>
      </c>
      <c r="K22" s="5">
        <f>IF(F22&lt;&gt;"",F22*Assumptions!$B$8,"")</f>
        <v/>
      </c>
      <c r="L22" s="5">
        <f>IF(G22&lt;&gt;"",G22,IF(F22&lt;&gt;"",F22*0.95,""))</f>
        <v/>
      </c>
      <c r="M22" s="5">
        <f>IF(H22="Yes",E22*K22,0)</f>
        <v/>
      </c>
    </row>
    <row r="23">
      <c r="A23" s="4" t="inlineStr">
        <is>
          <t>Forklift IC</t>
        </is>
      </c>
      <c r="B23" s="4" t="inlineStr">
        <is>
          <t>RY G30 Forklift Truck (3.0t IC)</t>
        </is>
      </c>
      <c r="C23" s="4" t="inlineStr">
        <is>
          <t>RY</t>
        </is>
      </c>
      <c r="D23" s="4" t="inlineStr">
        <is>
          <t>ROYAL FORKLIFT SUZHOU</t>
        </is>
      </c>
      <c r="E23" s="4" t="n">
        <v>2</v>
      </c>
      <c r="F23" s="5" t="n">
        <v>28700</v>
      </c>
      <c r="G23" s="11" t="n"/>
      <c r="H23" s="4" t="inlineStr">
        <is>
          <t>No</t>
        </is>
      </c>
      <c r="I23" s="4" t="inlineStr">
        <is>
          <t>Not in May 2026 file - verify if sold</t>
        </is>
      </c>
      <c r="J23" s="5">
        <f>IF(F23&lt;&gt;"",F23*Assumptions!$B$7,"")</f>
        <v/>
      </c>
      <c r="K23" s="5">
        <f>IF(F23&lt;&gt;"",F23*Assumptions!$B$8,"")</f>
        <v/>
      </c>
      <c r="L23" s="5">
        <f>IF(G23&lt;&gt;"",G23,IF(F23&lt;&gt;"",F23*0.95,""))</f>
        <v/>
      </c>
      <c r="M23" s="5">
        <f>IF(H23="Yes",E23*K23,0)</f>
        <v/>
      </c>
    </row>
    <row r="24">
      <c r="A24" s="4" t="inlineStr">
        <is>
          <t>Forklift Electric</t>
        </is>
      </c>
      <c r="B24" s="4" t="inlineStr">
        <is>
          <t>RY E20e Electric Forklift (3-wheel dual drive)</t>
        </is>
      </c>
      <c r="C24" s="4" t="inlineStr">
        <is>
          <t>RY</t>
        </is>
      </c>
      <c r="D24" s="4" t="inlineStr">
        <is>
          <t>ROYAL FORKLIFT SUZHOU</t>
        </is>
      </c>
      <c r="E24" s="4" t="n">
        <v>1</v>
      </c>
      <c r="F24" s="5" t="n">
        <v>28700</v>
      </c>
      <c r="G24" s="11" t="n"/>
      <c r="H24" s="4" t="inlineStr">
        <is>
          <t>No</t>
        </is>
      </c>
      <c r="I24" s="4" t="inlineStr">
        <is>
          <t>Not in May 2026 file - verify if sold</t>
        </is>
      </c>
      <c r="J24" s="5">
        <f>IF(F24&lt;&gt;"",F24*Assumptions!$B$7,"")</f>
        <v/>
      </c>
      <c r="K24" s="5">
        <f>IF(F24&lt;&gt;"",F24*Assumptions!$B$8,"")</f>
        <v/>
      </c>
      <c r="L24" s="5">
        <f>IF(G24&lt;&gt;"",G24,IF(F24&lt;&gt;"",F24*0.95,""))</f>
        <v/>
      </c>
      <c r="M24" s="5">
        <f>IF(H24="Yes",E24*K24,0)</f>
        <v/>
      </c>
    </row>
    <row r="25">
      <c r="A25" s="4" t="inlineStr">
        <is>
          <t>Forklift Electric</t>
        </is>
      </c>
      <c r="B25" s="4" t="inlineStr">
        <is>
          <t>RY E30Q Electric Forklift</t>
        </is>
      </c>
      <c r="C25" s="4" t="inlineStr">
        <is>
          <t>RY</t>
        </is>
      </c>
      <c r="D25" s="4" t="inlineStr">
        <is>
          <t>ROYAL FORKLIFT SUZHOU</t>
        </is>
      </c>
      <c r="E25" s="4" t="n">
        <v>1</v>
      </c>
      <c r="F25" s="5" t="n">
        <v>31350</v>
      </c>
      <c r="G25" s="11" t="n"/>
      <c r="H25" s="4" t="inlineStr">
        <is>
          <t>Yes</t>
        </is>
      </c>
      <c r="I25" s="4" t="inlineStr"/>
      <c r="J25" s="5">
        <f>IF(F25&lt;&gt;"",F25*Assumptions!$B$7,"")</f>
        <v/>
      </c>
      <c r="K25" s="5">
        <f>IF(F25&lt;&gt;"",F25*Assumptions!$B$8,"")</f>
        <v/>
      </c>
      <c r="L25" s="5">
        <f>IF(G25&lt;&gt;"",G25,IF(F25&lt;&gt;"",F25*0.95,""))</f>
        <v/>
      </c>
      <c r="M25" s="5">
        <f>IF(H25="Yes",E25*K25,0)</f>
        <v/>
      </c>
    </row>
    <row r="26">
      <c r="A26" s="4" t="inlineStr">
        <is>
          <t>Forklift Electric</t>
        </is>
      </c>
      <c r="B26" s="4" t="inlineStr">
        <is>
          <t>RY E35Q Electric Forklift</t>
        </is>
      </c>
      <c r="C26" s="4" t="inlineStr">
        <is>
          <t>RY</t>
        </is>
      </c>
      <c r="D26" s="4" t="inlineStr">
        <is>
          <t>ROYAL FORKLIFT SUZHOU</t>
        </is>
      </c>
      <c r="E26" s="4" t="n">
        <v>1</v>
      </c>
      <c r="F26" s="5" t="n">
        <v>34700</v>
      </c>
      <c r="G26" s="11" t="n"/>
      <c r="H26" s="4" t="inlineStr">
        <is>
          <t>No</t>
        </is>
      </c>
      <c r="I26" s="4" t="inlineStr">
        <is>
          <t>Not in May 2026 file - verify if sold</t>
        </is>
      </c>
      <c r="J26" s="5">
        <f>IF(F26&lt;&gt;"",F26*Assumptions!$B$7,"")</f>
        <v/>
      </c>
      <c r="K26" s="5">
        <f>IF(F26&lt;&gt;"",F26*Assumptions!$B$8,"")</f>
        <v/>
      </c>
      <c r="L26" s="5">
        <f>IF(G26&lt;&gt;"",G26,IF(F26&lt;&gt;"",F26*0.95,""))</f>
        <v/>
      </c>
      <c r="M26" s="5">
        <f>IF(H26="Yes",E26*K26,0)</f>
        <v/>
      </c>
    </row>
    <row r="27">
      <c r="A27" s="6" t="inlineStr">
        <is>
          <t>TOTALS</t>
        </is>
      </c>
      <c r="E27" s="4">
        <f>SUM(E4:E26)</f>
        <v/>
      </c>
      <c r="F27" s="11" t="n"/>
      <c r="G27" s="11" t="n"/>
      <c r="J27" s="11" t="n"/>
      <c r="K27" s="11" t="n"/>
      <c r="L27" s="11" t="n"/>
      <c r="M27" s="7">
        <f>SUM(M4:M26)</f>
        <v/>
      </c>
    </row>
    <row r="28">
      <c r="A28" s="4" t="inlineStr">
        <is>
          <t>2024 acquisition cost (all units):</t>
        </is>
      </c>
      <c r="E28" s="5">
        <f>SUMPRODUCT(E4:E26,F4:F26)</f>
        <v/>
      </c>
    </row>
    <row r="29">
      <c r="A29" s="4" t="inlineStr">
        <is>
          <t>Note: 'On-hand May 2026' = item appears in the May 2026 inventory file. Quantities need physical verification before offers go out.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0" customWidth="1" min="3" max="3"/>
    <col width="42" customWidth="1" min="4" max="4"/>
    <col width="6" customWidth="1" min="5" max="5"/>
    <col width="11" customWidth="1" min="6" max="6"/>
    <col width="11" customWidth="1" min="7" max="7"/>
    <col width="13" customWidth="1" min="8" max="8"/>
    <col width="40" customWidth="1" min="9" max="9"/>
    <col width="11" customWidth="1" min="10" max="10"/>
    <col width="11" customWidth="1" min="11" max="11"/>
    <col width="11" customWidth="1" min="12" max="12"/>
  </cols>
  <sheetData>
    <row r="1">
      <c r="A1" s="9" t="inlineStr">
        <is>
          <t>APPLIANCE INVENTORY (Luxury: Gaggenau/Miele/Thermador/Bosch - new, several boxed. Mainstream: Milhurst list)</t>
        </is>
      </c>
    </row>
    <row r="2"/>
    <row r="3">
      <c r="A3" s="3" t="inlineStr">
        <is>
          <t>Group</t>
        </is>
      </c>
      <c r="B3" s="3" t="inlineStr">
        <is>
          <t>Brand</t>
        </is>
      </c>
      <c r="C3" s="3" t="inlineStr">
        <is>
          <t>Model</t>
        </is>
      </c>
      <c r="D3" s="3" t="inlineStr">
        <is>
          <t>Description</t>
        </is>
      </c>
      <c r="E3" s="3" t="inlineStr">
        <is>
          <t>Qty</t>
        </is>
      </c>
      <c r="F3" s="3" t="inlineStr">
        <is>
          <t>UnitCost</t>
        </is>
      </c>
      <c r="G3" s="3" t="inlineStr">
        <is>
          <t>MSRP</t>
        </is>
      </c>
      <c r="H3" s="3" t="inlineStr">
        <is>
          <t>VerifiedRetail</t>
        </is>
      </c>
      <c r="I3" s="3" t="inlineStr">
        <is>
          <t>Notes</t>
        </is>
      </c>
      <c r="J3" s="3" t="inlineStr">
        <is>
          <t>Quick $</t>
        </is>
      </c>
      <c r="K3" s="3" t="inlineStr">
        <is>
          <t>Mid $</t>
        </is>
      </c>
      <c r="L3" s="3" t="inlineStr">
        <is>
          <t>Slow $</t>
        </is>
      </c>
    </row>
    <row r="4">
      <c r="A4" s="4" t="inlineStr">
        <is>
          <t>Luxury</t>
        </is>
      </c>
      <c r="B4" s="4" t="inlineStr">
        <is>
          <t>GAGGENAU</t>
        </is>
      </c>
      <c r="C4" s="4" t="inlineStr">
        <is>
          <t>BS470612</t>
        </is>
      </c>
      <c r="D4" s="4" t="inlineStr">
        <is>
          <t>400 Series 24" Combi Steam Oven</t>
        </is>
      </c>
      <c r="E4" s="4" t="n">
        <v>1</v>
      </c>
      <c r="F4" s="5" t="n">
        <v>5240</v>
      </c>
      <c r="G4" s="5" t="n">
        <v>9899</v>
      </c>
      <c r="H4" s="5" t="n">
        <v>9899</v>
      </c>
      <c r="I4" s="4" t="inlineStr">
        <is>
          <t>Price hidden by dealers; MSRP retained</t>
        </is>
      </c>
      <c r="J4" s="5">
        <f>IF(G4&lt;&gt;"",G4*Assumptions!$B$11,"")</f>
        <v/>
      </c>
      <c r="K4" s="5">
        <f>IF(G4&lt;&gt;"",G4*Assumptions!$B$12,"")</f>
        <v/>
      </c>
      <c r="L4" s="5">
        <f>IF(G4&lt;&gt;"",G4*Assumptions!$B$13,"")</f>
        <v/>
      </c>
    </row>
    <row r="5">
      <c r="A5" s="4" t="inlineStr">
        <is>
          <t>Luxury</t>
        </is>
      </c>
      <c r="B5" s="4" t="inlineStr">
        <is>
          <t>GAGGENAU</t>
        </is>
      </c>
      <c r="C5" s="4" t="inlineStr">
        <is>
          <t>BO480613</t>
        </is>
      </c>
      <c r="D5" s="4" t="inlineStr">
        <is>
          <t>Oven 30" 400 Series SS Glass L</t>
        </is>
      </c>
      <c r="E5" s="4" t="n">
        <v>1</v>
      </c>
      <c r="F5" s="5" t="n">
        <v>5240</v>
      </c>
      <c r="G5" s="5" t="n">
        <v>9899</v>
      </c>
      <c r="H5" s="5" t="n">
        <v>9899</v>
      </c>
      <c r="I5" s="4" t="inlineStr">
        <is>
          <t>Boxed</t>
        </is>
      </c>
      <c r="J5" s="5">
        <f>IF(G5&lt;&gt;"",G5*Assumptions!$B$11,"")</f>
        <v/>
      </c>
      <c r="K5" s="5">
        <f>IF(G5&lt;&gt;"",G5*Assumptions!$B$12,"")</f>
        <v/>
      </c>
      <c r="L5" s="5">
        <f>IF(G5&lt;&gt;"",G5*Assumptions!$B$13,"")</f>
        <v/>
      </c>
    </row>
    <row r="6">
      <c r="A6" s="4" t="inlineStr">
        <is>
          <t>Luxury</t>
        </is>
      </c>
      <c r="B6" s="4" t="inlineStr">
        <is>
          <t>GAGGENAU</t>
        </is>
      </c>
      <c r="C6" s="4" t="inlineStr">
        <is>
          <t>AL400792</t>
        </is>
      </c>
      <c r="D6" s="4" t="inlineStr">
        <is>
          <t>400 Series Telescopic Ventilation</t>
        </is>
      </c>
      <c r="E6" s="4" t="n">
        <v>1</v>
      </c>
      <c r="F6" s="5" t="n">
        <v>2792</v>
      </c>
      <c r="G6" s="5" t="n">
        <v>5399</v>
      </c>
      <c r="H6" s="5" t="n">
        <v>5399</v>
      </c>
      <c r="I6" s="4" t="inlineStr">
        <is>
          <t>Retailer sale price verified</t>
        </is>
      </c>
      <c r="J6" s="5">
        <f>IF(G6&lt;&gt;"",G6*Assumptions!$B$11,"")</f>
        <v/>
      </c>
      <c r="K6" s="5">
        <f>IF(G6&lt;&gt;"",G6*Assumptions!$B$12,"")</f>
        <v/>
      </c>
      <c r="L6" s="5">
        <f>IF(G6&lt;&gt;"",G6*Assumptions!$B$13,"")</f>
        <v/>
      </c>
    </row>
    <row r="7">
      <c r="A7" s="4" t="inlineStr">
        <is>
          <t>Luxury</t>
        </is>
      </c>
      <c r="B7" s="4" t="inlineStr">
        <is>
          <t>GAGGENAU</t>
        </is>
      </c>
      <c r="C7" s="4" t="inlineStr">
        <is>
          <t>RC472705</t>
        </is>
      </c>
      <c r="D7" s="4" t="inlineStr">
        <is>
          <t>Vario 400 Refrigerator 30" 2-Door</t>
        </is>
      </c>
      <c r="E7" s="4" t="n">
        <v>1</v>
      </c>
      <c r="F7" s="5" t="n">
        <v>7632</v>
      </c>
      <c r="G7" s="5" t="n">
        <v>12999</v>
      </c>
      <c r="H7" s="5" t="n">
        <v>12999</v>
      </c>
      <c r="I7" s="4" t="inlineStr"/>
      <c r="J7" s="5">
        <f>IF(G7&lt;&gt;"",G7*Assumptions!$B$11,"")</f>
        <v/>
      </c>
      <c r="K7" s="5">
        <f>IF(G7&lt;&gt;"",G7*Assumptions!$B$12,"")</f>
        <v/>
      </c>
      <c r="L7" s="5">
        <f>IF(G7&lt;&gt;"",G7*Assumptions!$B$13,"")</f>
        <v/>
      </c>
    </row>
    <row r="8">
      <c r="A8" s="4" t="inlineStr">
        <is>
          <t>Luxury</t>
        </is>
      </c>
      <c r="B8" s="4" t="inlineStr">
        <is>
          <t>GAGGENAU</t>
        </is>
      </c>
      <c r="C8" s="4" t="inlineStr">
        <is>
          <t>WS463710-960</t>
        </is>
      </c>
      <c r="D8" s="4" t="inlineStr">
        <is>
          <t>24" Warming Drawer</t>
        </is>
      </c>
      <c r="E8" s="4" t="n">
        <v>1</v>
      </c>
      <c r="F8" s="5" t="n">
        <v>1492</v>
      </c>
      <c r="G8" s="5" t="n">
        <v>2699</v>
      </c>
      <c r="H8" s="5" t="n">
        <v>2699</v>
      </c>
      <c r="I8" s="4" t="inlineStr"/>
      <c r="J8" s="5">
        <f>IF(G8&lt;&gt;"",G8*Assumptions!$B$11,"")</f>
        <v/>
      </c>
      <c r="K8" s="5">
        <f>IF(G8&lt;&gt;"",G8*Assumptions!$B$12,"")</f>
        <v/>
      </c>
      <c r="L8" s="5">
        <f>IF(G8&lt;&gt;"",G8*Assumptions!$B$13,"")</f>
        <v/>
      </c>
    </row>
    <row r="9">
      <c r="A9" s="4" t="inlineStr">
        <is>
          <t>Luxury</t>
        </is>
      </c>
      <c r="B9" s="4" t="inlineStr">
        <is>
          <t>GAGGENAU</t>
        </is>
      </c>
      <c r="C9" s="4" t="inlineStr">
        <is>
          <t>WS461710-960</t>
        </is>
      </c>
      <c r="D9" s="4" t="inlineStr">
        <is>
          <t>24" Warming Drawer</t>
        </is>
      </c>
      <c r="E9" s="4" t="n">
        <v>1</v>
      </c>
      <c r="F9" s="5" t="n">
        <v>1392</v>
      </c>
      <c r="G9" s="5" t="n">
        <v>2549</v>
      </c>
      <c r="H9" s="5" t="n">
        <v>2549</v>
      </c>
      <c r="I9" s="4" t="inlineStr"/>
      <c r="J9" s="5">
        <f>IF(G9&lt;&gt;"",G9*Assumptions!$B$11,"")</f>
        <v/>
      </c>
      <c r="K9" s="5">
        <f>IF(G9&lt;&gt;"",G9*Assumptions!$B$12,"")</f>
        <v/>
      </c>
      <c r="L9" s="5">
        <f>IF(G9&lt;&gt;"",G9*Assumptions!$B$13,"")</f>
        <v/>
      </c>
    </row>
    <row r="10">
      <c r="A10" s="4" t="inlineStr">
        <is>
          <t>Luxury</t>
        </is>
      </c>
      <c r="B10" s="4" t="inlineStr">
        <is>
          <t>GAGGENAU</t>
        </is>
      </c>
      <c r="C10" s="4" t="inlineStr">
        <is>
          <t>BMP250710/1</t>
        </is>
      </c>
      <c r="D10" s="4" t="inlineStr">
        <is>
          <t>Combi Oven 361 200 Series</t>
        </is>
      </c>
      <c r="E10" s="4" t="n">
        <v>1</v>
      </c>
      <c r="F10" s="5" t="n">
        <v>3216</v>
      </c>
      <c r="G10" s="5" t="n">
        <v>5849</v>
      </c>
      <c r="H10" s="5" t="n">
        <v>5849</v>
      </c>
      <c r="I10" s="4" t="inlineStr">
        <is>
          <t>Discontinued model</t>
        </is>
      </c>
      <c r="J10" s="5">
        <f>IF(G10&lt;&gt;"",G10*Assumptions!$B$11,"")</f>
        <v/>
      </c>
      <c r="K10" s="5">
        <f>IF(G10&lt;&gt;"",G10*Assumptions!$B$12,"")</f>
        <v/>
      </c>
      <c r="L10" s="5">
        <f>IF(G10&lt;&gt;"",G10*Assumptions!$B$13,"")</f>
        <v/>
      </c>
    </row>
    <row r="11">
      <c r="A11" s="4" t="inlineStr">
        <is>
          <t>Luxury</t>
        </is>
      </c>
      <c r="B11" s="4" t="inlineStr">
        <is>
          <t>GAGGENAU</t>
        </is>
      </c>
      <c r="C11" s="4" t="inlineStr">
        <is>
          <t>BS484612</t>
        </is>
      </c>
      <c r="D11" s="4" t="inlineStr">
        <is>
          <t>400 Series 30" Combi Steam Oven</t>
        </is>
      </c>
      <c r="E11" s="4" t="n">
        <v>1</v>
      </c>
      <c r="F11" s="5" t="n">
        <v>6936</v>
      </c>
      <c r="G11" s="5" t="n">
        <v>11699</v>
      </c>
      <c r="H11" s="5" t="n">
        <v>11699</v>
      </c>
      <c r="I11" s="4" t="inlineStr">
        <is>
          <t>Boxed</t>
        </is>
      </c>
      <c r="J11" s="5">
        <f>IF(G11&lt;&gt;"",G11*Assumptions!$B$11,"")</f>
        <v/>
      </c>
      <c r="K11" s="5">
        <f>IF(G11&lt;&gt;"",G11*Assumptions!$B$12,"")</f>
        <v/>
      </c>
      <c r="L11" s="5">
        <f>IF(G11&lt;&gt;"",G11*Assumptions!$B$13,"")</f>
        <v/>
      </c>
    </row>
    <row r="12">
      <c r="A12" s="4" t="inlineStr">
        <is>
          <t>Luxury</t>
        </is>
      </c>
      <c r="B12" s="4" t="inlineStr">
        <is>
          <t>GAGGENAU</t>
        </is>
      </c>
      <c r="C12" s="4" t="inlineStr">
        <is>
          <t>VI230620/02</t>
        </is>
      </c>
      <c r="D12" s="4" t="inlineStr">
        <is>
          <t>200 Series Vario Induction 12"</t>
        </is>
      </c>
      <c r="E12" s="4" t="n">
        <v>1</v>
      </c>
      <c r="F12" s="5" t="n">
        <v>1484</v>
      </c>
      <c r="G12" s="5" t="n">
        <v>2649</v>
      </c>
      <c r="H12" s="5" t="n">
        <v>2649</v>
      </c>
      <c r="I12" s="4" t="inlineStr"/>
      <c r="J12" s="5">
        <f>IF(G12&lt;&gt;"",G12*Assumptions!$B$11,"")</f>
        <v/>
      </c>
      <c r="K12" s="5">
        <f>IF(G12&lt;&gt;"",G12*Assumptions!$B$12,"")</f>
        <v/>
      </c>
      <c r="L12" s="5">
        <f>IF(G12&lt;&gt;"",G12*Assumptions!$B$13,"")</f>
        <v/>
      </c>
    </row>
    <row r="13">
      <c r="A13" s="4" t="inlineStr">
        <is>
          <t>Luxury</t>
        </is>
      </c>
      <c r="B13" s="4" t="inlineStr">
        <is>
          <t>GAGGENAU</t>
        </is>
      </c>
      <c r="C13" s="4" t="inlineStr">
        <is>
          <t>VG231220CA</t>
        </is>
      </c>
      <c r="D13" s="4" t="inlineStr">
        <is>
          <t>200 Series Vario Gas Wok Burner</t>
        </is>
      </c>
      <c r="E13" s="4" t="n">
        <v>1</v>
      </c>
      <c r="F13" s="5" t="n">
        <v>1872</v>
      </c>
      <c r="G13" s="5" t="n">
        <v>2999</v>
      </c>
      <c r="H13" s="5" t="n">
        <v>2999</v>
      </c>
      <c r="I13" s="4" t="inlineStr"/>
      <c r="J13" s="5">
        <f>IF(G13&lt;&gt;"",G13*Assumptions!$B$11,"")</f>
        <v/>
      </c>
      <c r="K13" s="5">
        <f>IF(G13&lt;&gt;"",G13*Assumptions!$B$12,"")</f>
        <v/>
      </c>
      <c r="L13" s="5">
        <f>IF(G13&lt;&gt;"",G13*Assumptions!$B$13,"")</f>
        <v/>
      </c>
    </row>
    <row r="14">
      <c r="A14" s="4" t="inlineStr">
        <is>
          <t>Luxury</t>
        </is>
      </c>
      <c r="B14" s="4" t="inlineStr">
        <is>
          <t>GAGGENAU</t>
        </is>
      </c>
      <c r="C14" s="4" t="inlineStr">
        <is>
          <t>VG2322OCA</t>
        </is>
      </c>
      <c r="D14" s="4" t="inlineStr">
        <is>
          <t>200 Series Vario 12" Gas 2-Burner</t>
        </is>
      </c>
      <c r="E14" s="4" t="n">
        <v>1</v>
      </c>
      <c r="F14" s="5" t="n">
        <v>1484</v>
      </c>
      <c r="G14" s="5" t="n">
        <v>2599</v>
      </c>
      <c r="H14" s="5" t="n">
        <v>2599</v>
      </c>
      <c r="I14" s="4" t="inlineStr">
        <is>
          <t>Model tag needs verification (likely VG232220CA)</t>
        </is>
      </c>
      <c r="J14" s="5">
        <f>IF(G14&lt;&gt;"",G14*Assumptions!$B$11,"")</f>
        <v/>
      </c>
      <c r="K14" s="5">
        <f>IF(G14&lt;&gt;"",G14*Assumptions!$B$12,"")</f>
        <v/>
      </c>
      <c r="L14" s="5">
        <f>IF(G14&lt;&gt;"",G14*Assumptions!$B$13,"")</f>
        <v/>
      </c>
    </row>
    <row r="15">
      <c r="A15" s="4" t="inlineStr">
        <is>
          <t>Luxury</t>
        </is>
      </c>
      <c r="B15" s="4" t="inlineStr">
        <is>
          <t>GAGGENAU</t>
        </is>
      </c>
      <c r="C15" s="4" t="inlineStr">
        <is>
          <t>CMP250711</t>
        </is>
      </c>
      <c r="D15" s="4" t="inlineStr">
        <is>
          <t>Built-In Automatic Coffee Machine</t>
        </is>
      </c>
      <c r="E15" s="4" t="n">
        <v>1</v>
      </c>
      <c r="F15" s="5" t="n">
        <v>2592</v>
      </c>
      <c r="G15" s="5" t="n">
        <v>4899</v>
      </c>
      <c r="H15" s="5" t="n">
        <v>4899</v>
      </c>
      <c r="I15" s="4" t="inlineStr"/>
      <c r="J15" s="5">
        <f>IF(G15&lt;&gt;"",G15*Assumptions!$B$11,"")</f>
        <v/>
      </c>
      <c r="K15" s="5">
        <f>IF(G15&lt;&gt;"",G15*Assumptions!$B$12,"")</f>
        <v/>
      </c>
      <c r="L15" s="5">
        <f>IF(G15&lt;&gt;"",G15*Assumptions!$B$13,"")</f>
        <v/>
      </c>
    </row>
    <row r="16">
      <c r="A16" s="4" t="inlineStr">
        <is>
          <t>Luxury</t>
        </is>
      </c>
      <c r="B16" s="4" t="inlineStr">
        <is>
          <t>GAGGENAU</t>
        </is>
      </c>
      <c r="C16" s="4" t="inlineStr">
        <is>
          <t>BO450612</t>
        </is>
      </c>
      <c r="D16" s="4" t="inlineStr">
        <is>
          <t>24" 400 Series SS/Glass R</t>
        </is>
      </c>
      <c r="E16" s="4" t="n">
        <v>1</v>
      </c>
      <c r="F16" s="5" t="n">
        <v>4528</v>
      </c>
      <c r="G16" s="5" t="n">
        <v>8149</v>
      </c>
      <c r="H16" s="5" t="n">
        <v>8149</v>
      </c>
      <c r="I16" s="4" t="inlineStr"/>
      <c r="J16" s="5">
        <f>IF(G16&lt;&gt;"",G16*Assumptions!$B$11,"")</f>
        <v/>
      </c>
      <c r="K16" s="5">
        <f>IF(G16&lt;&gt;"",G16*Assumptions!$B$12,"")</f>
        <v/>
      </c>
      <c r="L16" s="5">
        <f>IF(G16&lt;&gt;"",G16*Assumptions!$B$13,"")</f>
        <v/>
      </c>
    </row>
    <row r="17">
      <c r="A17" s="4" t="inlineStr">
        <is>
          <t>Luxury</t>
        </is>
      </c>
      <c r="B17" s="4" t="inlineStr">
        <is>
          <t>GAGGENAU</t>
        </is>
      </c>
      <c r="C17" s="4" t="inlineStr">
        <is>
          <t>DF481701</t>
        </is>
      </c>
      <c r="D17" s="4" t="inlineStr">
        <is>
          <t>Dishwasher Fully Integrated 60cm</t>
        </is>
      </c>
      <c r="E17" s="4" t="n">
        <v>1</v>
      </c>
      <c r="F17" s="5" t="n">
        <v>2292</v>
      </c>
      <c r="G17" s="5" t="n">
        <v>3899</v>
      </c>
      <c r="H17" s="5" t="n">
        <v>3899</v>
      </c>
      <c r="I17" s="4" t="inlineStr">
        <is>
          <t>Boxed</t>
        </is>
      </c>
      <c r="J17" s="5">
        <f>IF(G17&lt;&gt;"",G17*Assumptions!$B$11,"")</f>
        <v/>
      </c>
      <c r="K17" s="5">
        <f>IF(G17&lt;&gt;"",G17*Assumptions!$B$12,"")</f>
        <v/>
      </c>
      <c r="L17" s="5">
        <f>IF(G17&lt;&gt;"",G17*Assumptions!$B$13,"")</f>
        <v/>
      </c>
    </row>
    <row r="18">
      <c r="A18" s="4" t="inlineStr">
        <is>
          <t>Luxury</t>
        </is>
      </c>
      <c r="B18" s="4" t="inlineStr">
        <is>
          <t>MIELE</t>
        </is>
      </c>
      <c r="C18" s="4" t="inlineStr">
        <is>
          <t>KM6365</t>
        </is>
      </c>
      <c r="D18" s="4" t="inlineStr">
        <is>
          <t>30" Flush Mounted Induction Cooktop</t>
        </is>
      </c>
      <c r="E18" s="4" t="n">
        <v>1</v>
      </c>
      <c r="F18" s="5" t="n">
        <v>2125</v>
      </c>
      <c r="G18" s="5" t="n">
        <v>3499</v>
      </c>
      <c r="H18" s="5" t="n">
        <v>3499</v>
      </c>
      <c r="I18" s="4" t="inlineStr"/>
      <c r="J18" s="5">
        <f>IF(G18&lt;&gt;"",G18*Assumptions!$B$11,"")</f>
        <v/>
      </c>
      <c r="K18" s="5">
        <f>IF(G18&lt;&gt;"",G18*Assumptions!$B$12,"")</f>
        <v/>
      </c>
      <c r="L18" s="5">
        <f>IF(G18&lt;&gt;"",G18*Assumptions!$B$13,"")</f>
        <v/>
      </c>
    </row>
    <row r="19">
      <c r="A19" s="4" t="inlineStr">
        <is>
          <t>Luxury</t>
        </is>
      </c>
      <c r="B19" s="4" t="inlineStr">
        <is>
          <t>MIELE</t>
        </is>
      </c>
      <c r="C19" s="4" t="inlineStr">
        <is>
          <t>DGC7840</t>
        </is>
      </c>
      <c r="D19" s="4" t="inlineStr">
        <is>
          <t>24" VitroLine Combi Steam</t>
        </is>
      </c>
      <c r="E19" s="4" t="n">
        <v>1</v>
      </c>
      <c r="F19" s="5" t="n">
        <v>3299</v>
      </c>
      <c r="G19" s="5" t="n">
        <v>5999</v>
      </c>
      <c r="H19" s="5" t="n">
        <v>5999</v>
      </c>
      <c r="I19" s="4" t="inlineStr"/>
      <c r="J19" s="5">
        <f>IF(G19&lt;&gt;"",G19*Assumptions!$B$11,"")</f>
        <v/>
      </c>
      <c r="K19" s="5">
        <f>IF(G19&lt;&gt;"",G19*Assumptions!$B$12,"")</f>
        <v/>
      </c>
      <c r="L19" s="5">
        <f>IF(G19&lt;&gt;"",G19*Assumptions!$B$13,"")</f>
        <v/>
      </c>
    </row>
    <row r="20">
      <c r="A20" s="4" t="inlineStr">
        <is>
          <t>Luxury</t>
        </is>
      </c>
      <c r="B20" s="4" t="inlineStr">
        <is>
          <t>MIELE</t>
        </is>
      </c>
      <c r="C20" s="4" t="inlineStr">
        <is>
          <t>ESW6214</t>
        </is>
      </c>
      <c r="D20" s="4" t="inlineStr">
        <is>
          <t>24" PureLine Warming Drawer</t>
        </is>
      </c>
      <c r="E20" s="4" t="n">
        <v>1</v>
      </c>
      <c r="F20" s="5" t="n">
        <v>769</v>
      </c>
      <c r="G20" s="5" t="n">
        <v>1399</v>
      </c>
      <c r="H20" s="5" t="n">
        <v>1399</v>
      </c>
      <c r="I20" s="4" t="inlineStr"/>
      <c r="J20" s="5">
        <f>IF(G20&lt;&gt;"",G20*Assumptions!$B$11,"")</f>
        <v/>
      </c>
      <c r="K20" s="5">
        <f>IF(G20&lt;&gt;"",G20*Assumptions!$B$12,"")</f>
        <v/>
      </c>
      <c r="L20" s="5">
        <f>IF(G20&lt;&gt;"",G20*Assumptions!$B$13,"")</f>
        <v/>
      </c>
    </row>
    <row r="21">
      <c r="A21" s="4" t="inlineStr">
        <is>
          <t>Luxury</t>
        </is>
      </c>
      <c r="B21" s="4" t="inlineStr">
        <is>
          <t>MIELE</t>
        </is>
      </c>
      <c r="C21" s="4" t="inlineStr">
        <is>
          <t>G 7176 SCVI</t>
        </is>
      </c>
      <c r="D21" s="4" t="inlineStr">
        <is>
          <t>AutoDos Dishwasher</t>
        </is>
      </c>
      <c r="E21" s="4" t="n">
        <v>1</v>
      </c>
      <c r="F21" s="5" t="n">
        <v>1059</v>
      </c>
      <c r="G21" s="5" t="n">
        <v>1849</v>
      </c>
      <c r="H21" s="5" t="n">
        <v>1849</v>
      </c>
      <c r="I21" s="4" t="inlineStr"/>
      <c r="J21" s="5">
        <f>IF(G21&lt;&gt;"",G21*Assumptions!$B$11,"")</f>
        <v/>
      </c>
      <c r="K21" s="5">
        <f>IF(G21&lt;&gt;"",G21*Assumptions!$B$12,"")</f>
        <v/>
      </c>
      <c r="L21" s="5">
        <f>IF(G21&lt;&gt;"",G21*Assumptions!$B$13,"")</f>
        <v/>
      </c>
    </row>
    <row r="22">
      <c r="A22" s="4" t="inlineStr">
        <is>
          <t>Luxury</t>
        </is>
      </c>
      <c r="B22" s="4" t="inlineStr">
        <is>
          <t>MIELE</t>
        </is>
      </c>
      <c r="C22" s="4" t="inlineStr">
        <is>
          <t>HR 1953 2G</t>
        </is>
      </c>
      <c r="D22" s="4" t="inlineStr">
        <is>
          <t>36" Dual Fuel Range M Touch M Pro Grill</t>
        </is>
      </c>
      <c r="E22" s="4" t="n">
        <v>1</v>
      </c>
      <c r="F22" s="5" t="n">
        <v>7849</v>
      </c>
      <c r="G22" s="5" t="n">
        <v>13099</v>
      </c>
      <c r="H22" s="11" t="n"/>
      <c r="I22" s="4" t="inlineStr"/>
      <c r="J22" s="5">
        <f>IF(G22&lt;&gt;"",G22*Assumptions!$B$11,"")</f>
        <v/>
      </c>
      <c r="K22" s="5">
        <f>IF(G22&lt;&gt;"",G22*Assumptions!$B$12,"")</f>
        <v/>
      </c>
      <c r="L22" s="5">
        <f>IF(G22&lt;&gt;"",G22*Assumptions!$B$13,"")</f>
        <v/>
      </c>
    </row>
    <row r="23">
      <c r="A23" s="4" t="inlineStr">
        <is>
          <t>Luxury</t>
        </is>
      </c>
      <c r="B23" s="4" t="inlineStr">
        <is>
          <t>MIELE</t>
        </is>
      </c>
      <c r="C23" s="4" t="inlineStr">
        <is>
          <t>K2602 VI</t>
        </is>
      </c>
      <c r="D23" s="4" t="inlineStr">
        <is>
          <t>24" MasterCool Refrigerator Panel Ready</t>
        </is>
      </c>
      <c r="E23" s="4" t="n">
        <v>1</v>
      </c>
      <c r="F23" s="5" t="n">
        <v>5409</v>
      </c>
      <c r="G23" s="5" t="n">
        <v>9199</v>
      </c>
      <c r="H23" s="11" t="n"/>
      <c r="I23" s="4" t="inlineStr"/>
      <c r="J23" s="5">
        <f>IF(G23&lt;&gt;"",G23*Assumptions!$B$11,"")</f>
        <v/>
      </c>
      <c r="K23" s="5">
        <f>IF(G23&lt;&gt;"",G23*Assumptions!$B$12,"")</f>
        <v/>
      </c>
      <c r="L23" s="5">
        <f>IF(G23&lt;&gt;"",G23*Assumptions!$B$13,"")</f>
        <v/>
      </c>
    </row>
    <row r="24">
      <c r="A24" s="4" t="inlineStr">
        <is>
          <t>Luxury</t>
        </is>
      </c>
      <c r="B24" s="4" t="inlineStr">
        <is>
          <t>MIELE</t>
        </is>
      </c>
      <c r="C24" s="4" t="inlineStr">
        <is>
          <t>K 2802 VI</t>
        </is>
      </c>
      <c r="D24" s="4" t="inlineStr">
        <is>
          <t>30" MasterCool Bottom RH Mount Panel Ready</t>
        </is>
      </c>
      <c r="E24" s="4" t="n">
        <v>1</v>
      </c>
      <c r="F24" s="5" t="n">
        <v>5896</v>
      </c>
      <c r="G24" s="5" t="n">
        <v>9699</v>
      </c>
      <c r="H24" s="11" t="n"/>
      <c r="I24" s="4" t="inlineStr"/>
      <c r="J24" s="5">
        <f>IF(G24&lt;&gt;"",G24*Assumptions!$B$11,"")</f>
        <v/>
      </c>
      <c r="K24" s="5">
        <f>IF(G24&lt;&gt;"",G24*Assumptions!$B$12,"")</f>
        <v/>
      </c>
      <c r="L24" s="5">
        <f>IF(G24&lt;&gt;"",G24*Assumptions!$B$13,"")</f>
        <v/>
      </c>
    </row>
    <row r="25">
      <c r="A25" s="4" t="inlineStr">
        <is>
          <t>Luxury</t>
        </is>
      </c>
      <c r="B25" s="4" t="inlineStr">
        <is>
          <t>MIELE</t>
        </is>
      </c>
      <c r="C25" s="4" t="inlineStr">
        <is>
          <t>KWT 2672 VIS</t>
        </is>
      </c>
      <c r="D25" s="4" t="inlineStr">
        <is>
          <t>24" MasterCool Wine Unit Sommelier Panel Ready</t>
        </is>
      </c>
      <c r="E25" s="4" t="n">
        <v>1</v>
      </c>
      <c r="F25" s="5" t="n">
        <v>6754</v>
      </c>
      <c r="G25" s="5" t="n">
        <v>10599</v>
      </c>
      <c r="H25" s="11" t="n"/>
      <c r="I25" s="4" t="inlineStr"/>
      <c r="J25" s="5">
        <f>IF(G25&lt;&gt;"",G25*Assumptions!$B$11,"")</f>
        <v/>
      </c>
      <c r="K25" s="5">
        <f>IF(G25&lt;&gt;"",G25*Assumptions!$B$12,"")</f>
        <v/>
      </c>
      <c r="L25" s="5">
        <f>IF(G25&lt;&gt;"",G25*Assumptions!$B$13,"")</f>
        <v/>
      </c>
    </row>
    <row r="26">
      <c r="A26" s="4" t="inlineStr">
        <is>
          <t>Luxury</t>
        </is>
      </c>
      <c r="B26" s="4" t="inlineStr">
        <is>
          <t>MIELE</t>
        </is>
      </c>
      <c r="C26" s="4" t="inlineStr">
        <is>
          <t>H 7780 BP2</t>
        </is>
      </c>
      <c r="D26" s="4" t="inlineStr">
        <is>
          <t>30" ContourLine Double Oven M Touch</t>
        </is>
      </c>
      <c r="E26" s="4" t="n">
        <v>1</v>
      </c>
      <c r="F26" s="5" t="n">
        <v>7664</v>
      </c>
      <c r="G26" s="5" t="n">
        <v>11699</v>
      </c>
      <c r="H26" s="11" t="n"/>
      <c r="I26" s="4" t="inlineStr"/>
      <c r="J26" s="5">
        <f>IF(G26&lt;&gt;"",G26*Assumptions!$B$11,"")</f>
        <v/>
      </c>
      <c r="K26" s="5">
        <f>IF(G26&lt;&gt;"",G26*Assumptions!$B$12,"")</f>
        <v/>
      </c>
      <c r="L26" s="5">
        <f>IF(G26&lt;&gt;"",G26*Assumptions!$B$13,"")</f>
        <v/>
      </c>
    </row>
    <row r="27">
      <c r="A27" s="4" t="inlineStr">
        <is>
          <t>Luxury</t>
        </is>
      </c>
      <c r="B27" s="4" t="inlineStr">
        <is>
          <t>MIELE</t>
        </is>
      </c>
      <c r="C27" s="4" t="inlineStr">
        <is>
          <t>DA 6891</t>
        </is>
      </c>
      <c r="D27" s="4" t="inlineStr">
        <is>
          <t>Miele Downdraft Hood 36"</t>
        </is>
      </c>
      <c r="E27" s="4" t="n">
        <v>1</v>
      </c>
      <c r="F27" s="5" t="n">
        <v>1895</v>
      </c>
      <c r="G27" s="5" t="n">
        <v>3399</v>
      </c>
      <c r="H27" s="11" t="n"/>
      <c r="I27" s="4" t="inlineStr"/>
      <c r="J27" s="5">
        <f>IF(G27&lt;&gt;"",G27*Assumptions!$B$11,"")</f>
        <v/>
      </c>
      <c r="K27" s="5">
        <f>IF(G27&lt;&gt;"",G27*Assumptions!$B$12,"")</f>
        <v/>
      </c>
      <c r="L27" s="5">
        <f>IF(G27&lt;&gt;"",G27*Assumptions!$B$13,"")</f>
        <v/>
      </c>
    </row>
    <row r="28">
      <c r="A28" s="4" t="inlineStr">
        <is>
          <t>Luxury</t>
        </is>
      </c>
      <c r="B28" s="4" t="inlineStr">
        <is>
          <t>MIELE</t>
        </is>
      </c>
      <c r="C28" s="4" t="inlineStr">
        <is>
          <t>CVA 7845</t>
        </is>
      </c>
      <c r="D28" s="4" t="inlineStr">
        <is>
          <t>24" VitroLine Coffee Plumbed M Touch</t>
        </is>
      </c>
      <c r="E28" s="4" t="n">
        <v>1</v>
      </c>
      <c r="F28" s="5" t="n">
        <v>3754</v>
      </c>
      <c r="G28" s="5" t="n">
        <v>6999</v>
      </c>
      <c r="H28" s="11" t="n"/>
      <c r="I28" s="4" t="inlineStr"/>
      <c r="J28" s="5">
        <f>IF(G28&lt;&gt;"",G28*Assumptions!$B$11,"")</f>
        <v/>
      </c>
      <c r="K28" s="5">
        <f>IF(G28&lt;&gt;"",G28*Assumptions!$B$12,"")</f>
        <v/>
      </c>
      <c r="L28" s="5">
        <f>IF(G28&lt;&gt;"",G28*Assumptions!$B$13,"")</f>
        <v/>
      </c>
    </row>
    <row r="29">
      <c r="A29" s="4" t="inlineStr">
        <is>
          <t>Luxury</t>
        </is>
      </c>
      <c r="B29" s="4" t="inlineStr">
        <is>
          <t>THERMADOR</t>
        </is>
      </c>
      <c r="C29" s="4" t="inlineStr">
        <is>
          <t>T36BT120NS</t>
        </is>
      </c>
      <c r="D29" s="4" t="inlineStr">
        <is>
          <t>Built-In Fridge Freezer</t>
        </is>
      </c>
      <c r="E29" s="4" t="n">
        <v>1</v>
      </c>
      <c r="F29" s="5" t="n">
        <v>7890</v>
      </c>
      <c r="G29" s="5" t="n">
        <v>13199</v>
      </c>
      <c r="H29" s="11" t="n"/>
      <c r="I29" s="4" t="inlineStr">
        <is>
          <t>Boxed</t>
        </is>
      </c>
      <c r="J29" s="5">
        <f>IF(G29&lt;&gt;"",G29*Assumptions!$B$11,"")</f>
        <v/>
      </c>
      <c r="K29" s="5">
        <f>IF(G29&lt;&gt;"",G29*Assumptions!$B$12,"")</f>
        <v/>
      </c>
      <c r="L29" s="5">
        <f>IF(G29&lt;&gt;"",G29*Assumptions!$B$13,"")</f>
        <v/>
      </c>
    </row>
    <row r="30">
      <c r="A30" s="4" t="inlineStr">
        <is>
          <t>Luxury</t>
        </is>
      </c>
      <c r="B30" s="4" t="inlineStr">
        <is>
          <t>THERMADOR</t>
        </is>
      </c>
      <c r="C30" s="4" t="inlineStr">
        <is>
          <t>PRG304WH-8</t>
        </is>
      </c>
      <c r="D30" s="4" t="inlineStr">
        <is>
          <t>Pro Harmony 30" Gas Range</t>
        </is>
      </c>
      <c r="E30" s="4" t="n">
        <v>1</v>
      </c>
      <c r="F30" s="5" t="n">
        <v>2960</v>
      </c>
      <c r="G30" s="5" t="n">
        <v>5699</v>
      </c>
      <c r="H30" s="11" t="n"/>
      <c r="I30" s="4" t="inlineStr"/>
      <c r="J30" s="5">
        <f>IF(G30&lt;&gt;"",G30*Assumptions!$B$11,"")</f>
        <v/>
      </c>
      <c r="K30" s="5">
        <f>IF(G30&lt;&gt;"",G30*Assumptions!$B$12,"")</f>
        <v/>
      </c>
      <c r="L30" s="5">
        <f>IF(G30&lt;&gt;"",G30*Assumptions!$B$13,"")</f>
        <v/>
      </c>
    </row>
    <row r="31">
      <c r="A31" s="4" t="inlineStr">
        <is>
          <t>Luxury</t>
        </is>
      </c>
      <c r="B31" s="4" t="inlineStr">
        <is>
          <t>THERMADOR</t>
        </is>
      </c>
      <c r="C31" s="4" t="inlineStr">
        <is>
          <t>HPCN36WS</t>
        </is>
      </c>
      <c r="D31" s="4" t="inlineStr">
        <is>
          <t>36" Professional Chimney Hood</t>
        </is>
      </c>
      <c r="E31" s="4" t="n">
        <v>1</v>
      </c>
      <c r="F31" s="5" t="n">
        <v>1860</v>
      </c>
      <c r="G31" s="5" t="n">
        <v>3449</v>
      </c>
      <c r="H31" s="11" t="n"/>
      <c r="I31" s="4" t="inlineStr"/>
      <c r="J31" s="5">
        <f>IF(G31&lt;&gt;"",G31*Assumptions!$B$11,"")</f>
        <v/>
      </c>
      <c r="K31" s="5">
        <f>IF(G31&lt;&gt;"",G31*Assumptions!$B$12,"")</f>
        <v/>
      </c>
      <c r="L31" s="5">
        <f>IF(G31&lt;&gt;"",G31*Assumptions!$B$13,"")</f>
        <v/>
      </c>
    </row>
    <row r="32">
      <c r="A32" s="4" t="inlineStr">
        <is>
          <t>Luxury</t>
        </is>
      </c>
      <c r="B32" s="4" t="inlineStr">
        <is>
          <t>BOSCH</t>
        </is>
      </c>
      <c r="C32" s="4" t="inlineStr">
        <is>
          <t>SHX9PCM5N</t>
        </is>
      </c>
      <c r="D32" s="4" t="inlineStr">
        <is>
          <t>Pocket Handle 800 Dishwasher</t>
        </is>
      </c>
      <c r="E32" s="4" t="n">
        <v>1</v>
      </c>
      <c r="F32" s="5" t="n">
        <v>1078</v>
      </c>
      <c r="G32" s="5" t="n">
        <v>1999</v>
      </c>
      <c r="H32" s="11" t="n"/>
      <c r="I32" s="4" t="inlineStr"/>
      <c r="J32" s="5">
        <f>IF(G32&lt;&gt;"",G32*Assumptions!$B$11,"")</f>
        <v/>
      </c>
      <c r="K32" s="5">
        <f>IF(G32&lt;&gt;"",G32*Assumptions!$B$12,"")</f>
        <v/>
      </c>
      <c r="L32" s="5">
        <f>IF(G32&lt;&gt;"",G32*Assumptions!$B$13,"")</f>
        <v/>
      </c>
    </row>
    <row r="33">
      <c r="A33" s="4" t="inlineStr">
        <is>
          <t>Luxury</t>
        </is>
      </c>
      <c r="B33" s="4" t="inlineStr">
        <is>
          <t>BOSCH</t>
        </is>
      </c>
      <c r="C33" s="4" t="inlineStr">
        <is>
          <t>NITP660SUL</t>
        </is>
      </c>
      <c r="D33" s="4" t="inlineStr">
        <is>
          <t>Induction Cooktop Benchmark</t>
        </is>
      </c>
      <c r="E33" s="4" t="n">
        <v>1</v>
      </c>
      <c r="F33" s="5" t="n">
        <v>1849</v>
      </c>
      <c r="G33" s="5" t="n">
        <v>3599</v>
      </c>
      <c r="H33" s="11" t="n"/>
      <c r="I33" s="4" t="inlineStr"/>
      <c r="J33" s="5">
        <f>IF(G33&lt;&gt;"",G33*Assumptions!$B$11,"")</f>
        <v/>
      </c>
      <c r="K33" s="5">
        <f>IF(G33&lt;&gt;"",G33*Assumptions!$B$12,"")</f>
        <v/>
      </c>
      <c r="L33" s="5">
        <f>IF(G33&lt;&gt;"",G33*Assumptions!$B$13,"")</f>
        <v/>
      </c>
    </row>
    <row r="34">
      <c r="A34" s="4" t="inlineStr">
        <is>
          <t>Luxury</t>
        </is>
      </c>
      <c r="B34" s="4" t="inlineStr">
        <is>
          <t>BOSCH</t>
        </is>
      </c>
      <c r="C34" s="4" t="inlineStr">
        <is>
          <t>HBES453UC-03</t>
        </is>
      </c>
      <c r="D34" s="4" t="inlineStr">
        <is>
          <t>500 Series Electric Wall Oven</t>
        </is>
      </c>
      <c r="E34" s="4" t="n">
        <v>1</v>
      </c>
      <c r="F34" s="5" t="n">
        <v>1196</v>
      </c>
      <c r="G34" s="5" t="n">
        <v>2299</v>
      </c>
      <c r="H34" s="11" t="n"/>
      <c r="I34" s="4" t="inlineStr"/>
      <c r="J34" s="5">
        <f>IF(G34&lt;&gt;"",G34*Assumptions!$B$11,"")</f>
        <v/>
      </c>
      <c r="K34" s="5">
        <f>IF(G34&lt;&gt;"",G34*Assumptions!$B$12,"")</f>
        <v/>
      </c>
      <c r="L34" s="5">
        <f>IF(G34&lt;&gt;"",G34*Assumptions!$B$13,"")</f>
        <v/>
      </c>
    </row>
    <row r="35">
      <c r="A35" s="4" t="inlineStr">
        <is>
          <t>Luxury</t>
        </is>
      </c>
      <c r="B35" s="4" t="inlineStr">
        <is>
          <t>BOSCH</t>
        </is>
      </c>
      <c r="C35" s="4" t="inlineStr">
        <is>
          <t>HCG56651UC</t>
        </is>
      </c>
      <c r="D35" s="4" t="inlineStr">
        <is>
          <t>500 Series Hood</t>
        </is>
      </c>
      <c r="E35" s="4" t="n">
        <v>1</v>
      </c>
      <c r="F35" s="5" t="n">
        <v>1196</v>
      </c>
      <c r="G35" s="5" t="n">
        <v>2299</v>
      </c>
      <c r="H35" s="11" t="n"/>
      <c r="I35" s="4" t="inlineStr"/>
      <c r="J35" s="5">
        <f>IF(G35&lt;&gt;"",G35*Assumptions!$B$11,"")</f>
        <v/>
      </c>
      <c r="K35" s="5">
        <f>IF(G35&lt;&gt;"",G35*Assumptions!$B$12,"")</f>
        <v/>
      </c>
      <c r="L35" s="5">
        <f>IF(G35&lt;&gt;"",G35*Assumptions!$B$13,"")</f>
        <v/>
      </c>
    </row>
    <row r="36">
      <c r="A36" s="4" t="inlineStr">
        <is>
          <t>Mainstream</t>
        </is>
      </c>
      <c r="B36" s="4" t="inlineStr">
        <is>
          <t>FRIGIDAIRE</t>
        </is>
      </c>
      <c r="C36" s="4" t="inlineStr">
        <is>
          <t>FRSS2323AS</t>
        </is>
      </c>
      <c r="D36" s="4" t="inlineStr">
        <is>
          <t>22.3 cu.ft 33" Side-by-Side Refrigerator SS</t>
        </is>
      </c>
      <c r="E36" s="4" t="n">
        <v>1</v>
      </c>
      <c r="F36" s="11" t="n"/>
      <c r="G36" s="5" t="n">
        <v>1399</v>
      </c>
      <c r="H36" s="5" t="n">
        <v>1099</v>
      </c>
      <c r="I36" s="4" t="inlineStr">
        <is>
          <t>Suggested ask 949 / wholesale 775 / floor 699</t>
        </is>
      </c>
      <c r="J36" s="5">
        <f>IF(G36&lt;&gt;"",G36*Assumptions!$B$11,"")</f>
        <v/>
      </c>
      <c r="K36" s="5">
        <f>IF(G36&lt;&gt;"",G36*Assumptions!$B$12,"")</f>
        <v/>
      </c>
      <c r="L36" s="5">
        <f>IF(G36&lt;&gt;"",G36*Assumptions!$B$13,"")</f>
        <v/>
      </c>
    </row>
    <row r="37">
      <c r="A37" s="4" t="inlineStr">
        <is>
          <t>Mainstream</t>
        </is>
      </c>
      <c r="B37" s="4" t="inlineStr">
        <is>
          <t>FRIGIDAIRE</t>
        </is>
      </c>
      <c r="C37" s="4" t="inlineStr">
        <is>
          <t>FDPC4314AS</t>
        </is>
      </c>
      <c r="D37" s="4" t="inlineStr">
        <is>
          <t>24" Front-Control Built-In Dishwasher SS</t>
        </is>
      </c>
      <c r="E37" s="4" t="n">
        <v>1</v>
      </c>
      <c r="F37" s="11" t="n"/>
      <c r="G37" s="5" t="n">
        <v>599</v>
      </c>
      <c r="H37" s="5" t="n">
        <v>393</v>
      </c>
      <c r="I37" s="4" t="inlineStr">
        <is>
          <t>Suggested ask 329 / wholesale 259 / floor 225</t>
        </is>
      </c>
      <c r="J37" s="5">
        <f>IF(G37&lt;&gt;"",G37*Assumptions!$B$11,"")</f>
        <v/>
      </c>
      <c r="K37" s="5">
        <f>IF(G37&lt;&gt;"",G37*Assumptions!$B$12,"")</f>
        <v/>
      </c>
      <c r="L37" s="5">
        <f>IF(G37&lt;&gt;"",G37*Assumptions!$B$13,"")</f>
        <v/>
      </c>
    </row>
    <row r="38">
      <c r="A38" s="4" t="inlineStr">
        <is>
          <t>Mainstream</t>
        </is>
      </c>
      <c r="B38" s="4" t="inlineStr">
        <is>
          <t>FRIGIDAIRE</t>
        </is>
      </c>
      <c r="C38" s="4" t="inlineStr">
        <is>
          <t>GMOS1962AF</t>
        </is>
      </c>
      <c r="D38" s="4" t="inlineStr">
        <is>
          <t>1.9 cu.ft Over-the-Range Microwave SS</t>
        </is>
      </c>
      <c r="E38" s="4" t="n">
        <v>1</v>
      </c>
      <c r="F38" s="11" t="n"/>
      <c r="G38" s="5" t="n">
        <v>529</v>
      </c>
      <c r="H38" s="5" t="n">
        <v>429</v>
      </c>
      <c r="I38" s="4" t="inlineStr">
        <is>
          <t>Suggested ask 329 / wholesale 249 / floor 225</t>
        </is>
      </c>
      <c r="J38" s="5">
        <f>IF(G38&lt;&gt;"",G38*Assumptions!$B$11,"")</f>
        <v/>
      </c>
      <c r="K38" s="5">
        <f>IF(G38&lt;&gt;"",G38*Assumptions!$B$12,"")</f>
        <v/>
      </c>
      <c r="L38" s="5">
        <f>IF(G38&lt;&gt;"",G38*Assumptions!$B$13,"")</f>
        <v/>
      </c>
    </row>
    <row r="39">
      <c r="A39" s="4" t="inlineStr">
        <is>
          <t>Mainstream</t>
        </is>
      </c>
      <c r="B39" s="4" t="inlineStr">
        <is>
          <t>FRIGIDAIRE</t>
        </is>
      </c>
      <c r="C39" s="4" t="inlineStr">
        <is>
          <t>Gas Range (verify tag)</t>
        </is>
      </c>
      <c r="D39" s="4" t="inlineStr">
        <is>
          <t>30" 5-Burner Gas Range SS</t>
        </is>
      </c>
      <c r="E39" s="4" t="n">
        <v>1</v>
      </c>
      <c r="F39" s="11" t="n"/>
      <c r="G39" s="5" t="n">
        <v>2099</v>
      </c>
      <c r="H39" s="5" t="n">
        <v>929</v>
      </c>
      <c r="I39" s="4" t="inlineStr">
        <is>
          <t>Model tag verification required before advertising</t>
        </is>
      </c>
      <c r="J39" s="5">
        <f>IF(G39&lt;&gt;"",G39*Assumptions!$B$11,"")</f>
        <v/>
      </c>
      <c r="K39" s="5">
        <f>IF(G39&lt;&gt;"",G39*Assumptions!$B$12,"")</f>
        <v/>
      </c>
      <c r="L39" s="5">
        <f>IF(G39&lt;&gt;"",G39*Assumptions!$B$13,"")</f>
        <v/>
      </c>
    </row>
    <row r="40">
      <c r="A40" s="4" t="inlineStr">
        <is>
          <t>Mainstream</t>
        </is>
      </c>
      <c r="B40" s="4" t="inlineStr">
        <is>
          <t>ELECTROLUX</t>
        </is>
      </c>
      <c r="C40" s="4" t="inlineStr">
        <is>
          <t>ELTG7300AW</t>
        </is>
      </c>
      <c r="D40" s="4" t="inlineStr">
        <is>
          <t>Laundry Tower 4.4 washer + 8.0 gas dryer</t>
        </is>
      </c>
      <c r="E40" s="4" t="n">
        <v>1</v>
      </c>
      <c r="F40" s="11" t="n"/>
      <c r="G40" s="5" t="n">
        <v>2199</v>
      </c>
      <c r="H40" s="5" t="n">
        <v>1699</v>
      </c>
      <c r="I40" s="4" t="inlineStr">
        <is>
          <t>Suggested ask 1399 / wholesale 1175 / floor 1099</t>
        </is>
      </c>
      <c r="J40" s="5">
        <f>IF(G40&lt;&gt;"",G40*Assumptions!$B$11,"")</f>
        <v/>
      </c>
      <c r="K40" s="5">
        <f>IF(G40&lt;&gt;"",G40*Assumptions!$B$12,"")</f>
        <v/>
      </c>
      <c r="L40" s="5">
        <f>IF(G40&lt;&gt;"",G40*Assumptions!$B$13,"")</f>
        <v/>
      </c>
    </row>
    <row r="41">
      <c r="A41" s="4" t="inlineStr">
        <is>
          <t>HVAC</t>
        </is>
      </c>
      <c r="B41" s="4" t="inlineStr">
        <is>
          <t>GREENHECK</t>
        </is>
      </c>
      <c r="C41" s="4" t="inlineStr">
        <is>
          <t>SYNC-180SCEA-S1</t>
        </is>
      </c>
      <c r="D41" s="4" t="inlineStr">
        <is>
          <t>SYNC180 Residential ERV 75-200 CFM</t>
        </is>
      </c>
      <c r="E41" s="4" t="n">
        <v>1</v>
      </c>
      <c r="F41" s="5" t="n">
        <v>1657</v>
      </c>
      <c r="G41" s="5" t="n">
        <v>1690</v>
      </c>
      <c r="H41" s="5" t="n">
        <v>1690</v>
      </c>
      <c r="I41" s="4" t="inlineStr">
        <is>
          <t>Suggested ask 1395 / volume 1095-1195</t>
        </is>
      </c>
      <c r="J41" s="5">
        <f>IF(G41&lt;&gt;"",G41*Assumptions!$B$11,"")</f>
        <v/>
      </c>
      <c r="K41" s="5">
        <f>IF(G41&lt;&gt;"",G41*Assumptions!$B$12,"")</f>
        <v/>
      </c>
      <c r="L41" s="5">
        <f>IF(G41&lt;&gt;"",G41*Assumptions!$B$13,"")</f>
        <v/>
      </c>
    </row>
    <row r="42">
      <c r="A42" s="4" t="inlineStr">
        <is>
          <t>HVAC</t>
        </is>
      </c>
      <c r="B42" s="4" t="inlineStr">
        <is>
          <t>ASPEN</t>
        </is>
      </c>
      <c r="C42" s="4" t="inlineStr">
        <is>
          <t>AAFW304000UUCS38</t>
        </is>
      </c>
      <c r="D42" s="4" t="inlineStr">
        <is>
          <t>Air Handler / Fan Coil Unit</t>
        </is>
      </c>
      <c r="E42" s="4" t="n">
        <v>1</v>
      </c>
      <c r="F42" s="11" t="n"/>
      <c r="G42" s="11" t="n"/>
      <c r="H42" s="11" t="n"/>
      <c r="I42" s="4" t="inlineStr">
        <is>
          <t>Distributor quote needed; ask 799 / wholesale 625 / floor 550</t>
        </is>
      </c>
      <c r="J42" s="5">
        <f>IF(G42&lt;&gt;"",G42*Assumptions!$B$11,"")</f>
        <v/>
      </c>
      <c r="K42" s="5">
        <f>IF(G42&lt;&gt;"",G42*Assumptions!$B$12,"")</f>
        <v/>
      </c>
      <c r="L42" s="5">
        <f>IF(G42&lt;&gt;"",G42*Assumptions!$B$13,"")</f>
        <v/>
      </c>
    </row>
    <row r="43">
      <c r="A43" s="6" t="inlineStr">
        <is>
          <t>TOTALS</t>
        </is>
      </c>
      <c r="F43" s="5">
        <f>SUM(F4:F42)</f>
        <v/>
      </c>
      <c r="G43" s="5">
        <f>SUM(G4:G42)</f>
        <v/>
      </c>
      <c r="H43" s="11" t="n"/>
      <c r="J43" s="7">
        <f>SUM(J4:J42)</f>
        <v/>
      </c>
      <c r="K43" s="7">
        <f>SUM(K4:K42)</f>
        <v/>
      </c>
      <c r="L43" s="7">
        <f>SUM(L4:L42)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52" customWidth="1" min="2" max="2"/>
    <col width="20" customWidth="1" min="3" max="3"/>
    <col width="18" customWidth="1" min="4" max="4"/>
    <col width="10" customWidth="1" min="5" max="5"/>
    <col width="11" customWidth="1" min="6" max="6"/>
    <col width="8" customWidth="1" min="7" max="7"/>
    <col width="40" customWidth="1" min="8" max="8"/>
  </cols>
  <sheetData>
    <row r="1">
      <c r="A1" s="9" t="inlineStr">
        <is>
          <t>FURNITURE / MATTRESSES / DISPLAYS (Moda Mobilya + Iskeceli + display units) - QUANTITIES NEED PHYSICAL COUNT</t>
        </is>
      </c>
    </row>
    <row r="2"/>
    <row r="3">
      <c r="A3" s="3" t="inlineStr">
        <is>
          <t>Group</t>
        </is>
      </c>
      <c r="B3" s="3" t="inlineStr">
        <is>
          <t>Item</t>
        </is>
      </c>
      <c r="C3" s="3" t="inlineStr">
        <is>
          <t>SKU</t>
        </is>
      </c>
      <c r="D3" s="3" t="inlineStr">
        <is>
          <t>Vendor</t>
        </is>
      </c>
      <c r="E3" s="3" t="inlineStr">
        <is>
          <t>UnitCost</t>
        </is>
      </c>
      <c r="F3" s="3" t="inlineStr">
        <is>
          <t>RetailRate</t>
        </is>
      </c>
      <c r="G3" s="3" t="inlineStr">
        <is>
          <t>Qty</t>
        </is>
      </c>
      <c r="H3" s="3" t="inlineStr">
        <is>
          <t>Notes</t>
        </is>
      </c>
    </row>
    <row r="4">
      <c r="A4" s="4" t="inlineStr">
        <is>
          <t>TV Console</t>
        </is>
      </c>
      <c r="B4" s="4" t="inlineStr">
        <is>
          <t>70in TV Console w/o Doors (Silver/Black/White)</t>
        </is>
      </c>
      <c r="C4" s="4" t="inlineStr">
        <is>
          <t>E0000-70</t>
        </is>
      </c>
      <c r="D4" s="4" t="inlineStr">
        <is>
          <t>MODA MOBILYA</t>
        </is>
      </c>
      <c r="E4" s="4" t="inlineStr">
        <is>
          <t>120</t>
        </is>
      </c>
      <c r="F4" s="4" t="inlineStr">
        <is>
          <t>140-160</t>
        </is>
      </c>
      <c r="G4" s="4" t="inlineStr">
        <is>
          <t>TBD</t>
        </is>
      </c>
      <c r="H4" s="4" t="inlineStr">
        <is>
          <t>Physical count needed - Zoho stock shows 0</t>
        </is>
      </c>
    </row>
    <row r="5">
      <c r="A5" s="4" t="inlineStr">
        <is>
          <t>TV Console</t>
        </is>
      </c>
      <c r="B5" s="4" t="inlineStr">
        <is>
          <t>78in TV Console w/o Doors (all colors)</t>
        </is>
      </c>
      <c r="C5" s="4" t="inlineStr">
        <is>
          <t>E0000-78</t>
        </is>
      </c>
      <c r="D5" s="4" t="inlineStr">
        <is>
          <t>MODA MOBILYA</t>
        </is>
      </c>
      <c r="E5" s="4" t="inlineStr">
        <is>
          <t>130</t>
        </is>
      </c>
      <c r="F5" s="4" t="inlineStr">
        <is>
          <t>175</t>
        </is>
      </c>
      <c r="G5" s="4" t="inlineStr">
        <is>
          <t>TBD</t>
        </is>
      </c>
      <c r="H5" s="4" t="inlineStr">
        <is>
          <t>Physical count needed</t>
        </is>
      </c>
    </row>
    <row r="6">
      <c r="A6" s="4" t="inlineStr">
        <is>
          <t>TV Console</t>
        </is>
      </c>
      <c r="B6" s="4" t="inlineStr">
        <is>
          <t>95in TV Console w/o Doors (all colors)</t>
        </is>
      </c>
      <c r="C6" s="4" t="inlineStr">
        <is>
          <t>E0000-95</t>
        </is>
      </c>
      <c r="D6" s="4" t="inlineStr">
        <is>
          <t>MODA MOBILYA</t>
        </is>
      </c>
      <c r="E6" s="4" t="inlineStr">
        <is>
          <t>138</t>
        </is>
      </c>
      <c r="F6" s="4" t="inlineStr">
        <is>
          <t>186</t>
        </is>
      </c>
      <c r="G6" s="4" t="inlineStr">
        <is>
          <t>TBD</t>
        </is>
      </c>
      <c r="H6" s="4" t="inlineStr">
        <is>
          <t>Physical count needed</t>
        </is>
      </c>
    </row>
    <row r="7">
      <c r="A7" s="4" t="inlineStr">
        <is>
          <t>TV Console</t>
        </is>
      </c>
      <c r="B7" s="4" t="inlineStr">
        <is>
          <t>Haley 76in TV Console - White</t>
        </is>
      </c>
      <c r="C7" s="4" t="inlineStr">
        <is>
          <t>E1671-76-lacq</t>
        </is>
      </c>
      <c r="D7" s="4" t="inlineStr">
        <is>
          <t>MODA MOBILYA</t>
        </is>
      </c>
      <c r="E7" s="4" t="inlineStr">
        <is>
          <t>151</t>
        </is>
      </c>
      <c r="F7" s="4" t="inlineStr">
        <is>
          <t>210</t>
        </is>
      </c>
      <c r="G7" s="4" t="inlineStr">
        <is>
          <t>TBD</t>
        </is>
      </c>
      <c r="H7" s="4" t="inlineStr"/>
    </row>
    <row r="8">
      <c r="A8" s="4" t="inlineStr">
        <is>
          <t>TV Console</t>
        </is>
      </c>
      <c r="B8" s="4" t="inlineStr">
        <is>
          <t>Haley TV Console w/ Dual LED - Treviso</t>
        </is>
      </c>
      <c r="C8" s="4" t="inlineStr">
        <is>
          <t>E1671-76-a574</t>
        </is>
      </c>
      <c r="D8" s="4" t="inlineStr">
        <is>
          <t>MODA MOBILYA</t>
        </is>
      </c>
      <c r="E8" s="4" t="inlineStr">
        <is>
          <t>138</t>
        </is>
      </c>
      <c r="F8" s="4" t="inlineStr">
        <is>
          <t>186</t>
        </is>
      </c>
      <c r="G8" s="4" t="inlineStr">
        <is>
          <t>TBD</t>
        </is>
      </c>
      <c r="H8" s="4" t="inlineStr"/>
    </row>
    <row r="9">
      <c r="A9" s="4" t="inlineStr">
        <is>
          <t>TV Console</t>
        </is>
      </c>
      <c r="B9" s="4" t="inlineStr">
        <is>
          <t>Lilianna TV Console (Black/Silver)</t>
        </is>
      </c>
      <c r="C9" s="4" t="inlineStr">
        <is>
          <t>E4399-76</t>
        </is>
      </c>
      <c r="D9" s="4" t="inlineStr">
        <is>
          <t>MODA MOBILYA</t>
        </is>
      </c>
      <c r="E9" s="4" t="inlineStr">
        <is>
          <t>212</t>
        </is>
      </c>
      <c r="F9" s="4" t="inlineStr">
        <is>
          <t>275</t>
        </is>
      </c>
      <c r="G9" s="4" t="inlineStr">
        <is>
          <t>TBD</t>
        </is>
      </c>
      <c r="H9" s="4" t="inlineStr"/>
    </row>
    <row r="10">
      <c r="A10" s="4" t="inlineStr">
        <is>
          <t>TV Console</t>
        </is>
      </c>
      <c r="B10" s="4" t="inlineStr">
        <is>
          <t>Console w/ Dual LED (Black/Silver/White)</t>
        </is>
      </c>
      <c r="C10" s="4" t="inlineStr">
        <is>
          <t>E1847-66</t>
        </is>
      </c>
      <c r="D10" s="4" t="inlineStr">
        <is>
          <t>MODA MOBILYA</t>
        </is>
      </c>
      <c r="E10" s="4" t="inlineStr">
        <is>
          <t>172</t>
        </is>
      </c>
      <c r="F10" s="4" t="inlineStr">
        <is>
          <t>230</t>
        </is>
      </c>
      <c r="G10" s="4" t="inlineStr">
        <is>
          <t>TBD</t>
        </is>
      </c>
      <c r="H10" s="4" t="inlineStr"/>
    </row>
    <row r="11">
      <c r="A11" s="4" t="inlineStr">
        <is>
          <t>Buffet</t>
        </is>
      </c>
      <c r="B11" s="4" t="inlineStr">
        <is>
          <t>44in Buffet w/o Doors (all colors)</t>
        </is>
      </c>
      <c r="C11" s="4" t="inlineStr">
        <is>
          <t>D0000-44</t>
        </is>
      </c>
      <c r="D11" s="4" t="inlineStr">
        <is>
          <t>MODA MOBILYA</t>
        </is>
      </c>
      <c r="E11" s="4" t="inlineStr">
        <is>
          <t>90</t>
        </is>
      </c>
      <c r="F11" s="4" t="inlineStr">
        <is>
          <t>120-125</t>
        </is>
      </c>
      <c r="G11" s="4" t="inlineStr">
        <is>
          <t>TBD</t>
        </is>
      </c>
      <c r="H11" s="4" t="inlineStr"/>
    </row>
    <row r="12">
      <c r="A12" s="4" t="inlineStr">
        <is>
          <t>Buffet</t>
        </is>
      </c>
      <c r="B12" s="4" t="inlineStr">
        <is>
          <t>70in Buffet w/o Doors (all colors)</t>
        </is>
      </c>
      <c r="C12" s="4" t="inlineStr">
        <is>
          <t>D0000-70</t>
        </is>
      </c>
      <c r="D12" s="4" t="inlineStr">
        <is>
          <t>MODA MOBILYA</t>
        </is>
      </c>
      <c r="E12" s="4" t="inlineStr">
        <is>
          <t>100</t>
        </is>
      </c>
      <c r="F12" s="4" t="inlineStr">
        <is>
          <t>141</t>
        </is>
      </c>
      <c r="G12" s="4" t="inlineStr">
        <is>
          <t>TBD</t>
        </is>
      </c>
      <c r="H12" s="4" t="inlineStr"/>
    </row>
    <row r="13">
      <c r="A13" s="4" t="inlineStr">
        <is>
          <t>Buffet</t>
        </is>
      </c>
      <c r="B13" s="4" t="inlineStr">
        <is>
          <t>88in Buffet w/o Doors (Black/Silver)</t>
        </is>
      </c>
      <c r="C13" s="4" t="inlineStr">
        <is>
          <t>D0000-88</t>
        </is>
      </c>
      <c r="D13" s="4" t="inlineStr">
        <is>
          <t>MODA MOBILYA</t>
        </is>
      </c>
      <c r="E13" s="4" t="inlineStr">
        <is>
          <t>110</t>
        </is>
      </c>
      <c r="F13" s="4" t="inlineStr">
        <is>
          <t>165</t>
        </is>
      </c>
      <c r="G13" s="4" t="inlineStr">
        <is>
          <t>TBD</t>
        </is>
      </c>
      <c r="H13" s="4" t="inlineStr"/>
    </row>
    <row r="14">
      <c r="A14" s="4" t="inlineStr">
        <is>
          <t>Door Sets</t>
        </is>
      </c>
      <c r="B14" s="4" t="inlineStr">
        <is>
          <t>Set of 2 Doors (Adrianna/Ianna/Myra/Sherry/Giovanna variants)</t>
        </is>
      </c>
      <c r="C14" s="4" t="inlineStr">
        <is>
          <t>various</t>
        </is>
      </c>
      <c r="D14" s="4" t="inlineStr">
        <is>
          <t>MODA MOBILYA</t>
        </is>
      </c>
      <c r="E14" s="4" t="inlineStr">
        <is>
          <t>80-90</t>
        </is>
      </c>
      <c r="F14" s="4" t="inlineStr">
        <is>
          <t>108-120</t>
        </is>
      </c>
      <c r="G14" s="4" t="inlineStr">
        <is>
          <t>TBD</t>
        </is>
      </c>
      <c r="H14" s="4" t="inlineStr"/>
    </row>
    <row r="15">
      <c r="A15" s="4" t="inlineStr">
        <is>
          <t>Door Sets</t>
        </is>
      </c>
      <c r="B15" s="4" t="inlineStr">
        <is>
          <t>Set of 3 Doors - Stream (White w/ Gold or Silver)</t>
        </is>
      </c>
      <c r="C15" s="4" t="inlineStr">
        <is>
          <t>Stream-3dr</t>
        </is>
      </c>
      <c r="D15" s="4" t="inlineStr">
        <is>
          <t>MODA MOBILYA</t>
        </is>
      </c>
      <c r="E15" s="4" t="inlineStr">
        <is>
          <t>120</t>
        </is>
      </c>
      <c r="F15" s="4" t="inlineStr">
        <is>
          <t>177</t>
        </is>
      </c>
      <c r="G15" s="4" t="inlineStr">
        <is>
          <t>TBD</t>
        </is>
      </c>
      <c r="H15" s="4" t="inlineStr"/>
    </row>
    <row r="16">
      <c r="A16" s="4" t="inlineStr">
        <is>
          <t>Mattress</t>
        </is>
      </c>
      <c r="B16" s="4" t="inlineStr">
        <is>
          <t>Bodrum Queen - Mattress Tailor Cotton 2000</t>
        </is>
      </c>
      <c r="C16" s="4" t="inlineStr">
        <is>
          <t>MT-QN-COTTON 2000</t>
        </is>
      </c>
      <c r="D16" s="4" t="inlineStr">
        <is>
          <t>ISKECELI</t>
        </is>
      </c>
      <c r="E16" s="4" t="inlineStr">
        <is>
          <t>400</t>
        </is>
      </c>
      <c r="F16" s="4" t="inlineStr">
        <is>
          <t>1350</t>
        </is>
      </c>
      <c r="G16" s="4" t="inlineStr">
        <is>
          <t>TBD</t>
        </is>
      </c>
      <c r="H16" s="4" t="inlineStr"/>
    </row>
    <row r="17">
      <c r="A17" s="4" t="inlineStr">
        <is>
          <t>Mattress</t>
        </is>
      </c>
      <c r="B17" s="4" t="inlineStr">
        <is>
          <t>Bodrum King - Mattress Tailor Cotton 2000</t>
        </is>
      </c>
      <c r="C17" s="4" t="inlineStr">
        <is>
          <t>MT-KN-COTTON 2000</t>
        </is>
      </c>
      <c r="D17" s="4" t="inlineStr">
        <is>
          <t>ISKECELI</t>
        </is>
      </c>
      <c r="E17" s="4" t="inlineStr">
        <is>
          <t>450</t>
        </is>
      </c>
      <c r="F17" s="4" t="inlineStr">
        <is>
          <t>1650</t>
        </is>
      </c>
      <c r="G17" s="4" t="inlineStr">
        <is>
          <t>TBD</t>
        </is>
      </c>
      <c r="H17" s="4" t="inlineStr"/>
    </row>
    <row r="18">
      <c r="A18" s="4" t="inlineStr">
        <is>
          <t>Mattress</t>
        </is>
      </c>
      <c r="B18" s="4" t="inlineStr">
        <is>
          <t>Ibiza Queen - Mattress Tailor Linen 2000 WP</t>
        </is>
      </c>
      <c r="C18" s="4" t="inlineStr">
        <is>
          <t>MT-QN-LINEN 2000 WP</t>
        </is>
      </c>
      <c r="D18" s="4" t="inlineStr">
        <is>
          <t>ISKECELI</t>
        </is>
      </c>
      <c r="E18" s="4" t="inlineStr">
        <is>
          <t>570</t>
        </is>
      </c>
      <c r="F18" s="4" t="inlineStr">
        <is>
          <t>1650</t>
        </is>
      </c>
      <c r="G18" s="4" t="inlineStr">
        <is>
          <t>TBD</t>
        </is>
      </c>
      <c r="H18" s="4" t="inlineStr"/>
    </row>
    <row r="19">
      <c r="A19" s="4" t="inlineStr">
        <is>
          <t>Mattress</t>
        </is>
      </c>
      <c r="B19" s="4" t="inlineStr">
        <is>
          <t>Ibiza King - Mattress Tailor Linen 2000 WP</t>
        </is>
      </c>
      <c r="C19" s="4" t="inlineStr">
        <is>
          <t>MT-KN-LINEN 2000 WP</t>
        </is>
      </c>
      <c r="D19" s="4" t="inlineStr">
        <is>
          <t>ISKECELI</t>
        </is>
      </c>
      <c r="E19" s="4" t="inlineStr">
        <is>
          <t>660</t>
        </is>
      </c>
      <c r="F19" s="4" t="inlineStr">
        <is>
          <t>1950</t>
        </is>
      </c>
      <c r="G19" s="4" t="inlineStr">
        <is>
          <t>TBD</t>
        </is>
      </c>
      <c r="H19" s="4" t="inlineStr"/>
    </row>
    <row r="20">
      <c r="A20" s="4" t="inlineStr">
        <is>
          <t>Mattress</t>
        </is>
      </c>
      <c r="B20" s="4" t="inlineStr">
        <is>
          <t>Aruba Queen - Mattress Tailor Wool 3500</t>
        </is>
      </c>
      <c r="C20" s="4" t="inlineStr">
        <is>
          <t>MT-QN-WOOL 3500</t>
        </is>
      </c>
      <c r="D20" s="4" t="inlineStr">
        <is>
          <t>ISKECELI</t>
        </is>
      </c>
      <c r="E20" s="4" t="inlineStr">
        <is>
          <t>600</t>
        </is>
      </c>
      <c r="F20" s="4" t="inlineStr">
        <is>
          <t>1850</t>
        </is>
      </c>
      <c r="G20" s="4" t="inlineStr">
        <is>
          <t>TBD</t>
        </is>
      </c>
      <c r="H20" s="4" t="inlineStr"/>
    </row>
    <row r="21">
      <c r="A21" s="4" t="inlineStr">
        <is>
          <t>Mattress</t>
        </is>
      </c>
      <c r="B21" s="4" t="inlineStr">
        <is>
          <t>Aruba King - Mattress Tailor Wool 3500</t>
        </is>
      </c>
      <c r="C21" s="4" t="inlineStr">
        <is>
          <t>MT-KN-WOOL 3500</t>
        </is>
      </c>
      <c r="D21" s="4" t="inlineStr">
        <is>
          <t>ISKECELI</t>
        </is>
      </c>
      <c r="E21" s="4" t="inlineStr">
        <is>
          <t>665</t>
        </is>
      </c>
      <c r="F21" s="4" t="inlineStr">
        <is>
          <t>2150</t>
        </is>
      </c>
      <c r="G21" s="4" t="inlineStr">
        <is>
          <t>TBD</t>
        </is>
      </c>
      <c r="H21" s="4" t="inlineStr"/>
    </row>
    <row r="22">
      <c r="A22" s="4" t="inlineStr">
        <is>
          <t>Mattress</t>
        </is>
      </c>
      <c r="B22" s="4" t="inlineStr">
        <is>
          <t>Santorini Queen - Mattress Tailor Linen 4500</t>
        </is>
      </c>
      <c r="C22" s="4" t="inlineStr">
        <is>
          <t>MT-QN-LINEN 4500</t>
        </is>
      </c>
      <c r="D22" s="4" t="inlineStr">
        <is>
          <t>ISKECELI</t>
        </is>
      </c>
      <c r="E22" s="4" t="inlineStr"/>
      <c r="F22" s="4" t="inlineStr"/>
      <c r="G22" s="4" t="inlineStr">
        <is>
          <t>TBD</t>
        </is>
      </c>
      <c r="H22" s="4" t="inlineStr"/>
    </row>
    <row r="23">
      <c r="A23" s="4" t="inlineStr">
        <is>
          <t>Display</t>
        </is>
      </c>
      <c r="B23" s="4" t="inlineStr">
        <is>
          <t>Display PAC</t>
        </is>
      </c>
      <c r="C23" s="4" t="inlineStr"/>
      <c r="D23" s="4" t="inlineStr">
        <is>
          <t>XIAMEN BOYA</t>
        </is>
      </c>
      <c r="E23" s="4" t="inlineStr">
        <is>
          <t>100</t>
        </is>
      </c>
      <c r="F23" s="4" t="inlineStr"/>
      <c r="G23" s="4" t="inlineStr">
        <is>
          <t>19</t>
        </is>
      </c>
      <c r="H23" s="4" t="inlineStr">
        <is>
          <t>Stock per 2024 Zoho export</t>
        </is>
      </c>
    </row>
    <row r="24">
      <c r="A24" s="4" t="inlineStr">
        <is>
          <t>Display</t>
        </is>
      </c>
      <c r="B24" s="4" t="inlineStr">
        <is>
          <t>Metal Display Tower</t>
        </is>
      </c>
      <c r="C24" s="4" t="inlineStr"/>
      <c r="D24" s="4" t="inlineStr">
        <is>
          <t>FOSHAN SHUNGZUN</t>
        </is>
      </c>
      <c r="E24" s="4" t="inlineStr">
        <is>
          <t>112.23</t>
        </is>
      </c>
      <c r="F24" s="4" t="inlineStr"/>
      <c r="G24" s="4" t="inlineStr">
        <is>
          <t>75</t>
        </is>
      </c>
      <c r="H24" s="4" t="inlineStr">
        <is>
          <t>Stock per 2024 Zoho export</t>
        </is>
      </c>
    </row>
    <row r="25">
      <c r="A25" s="4" t="inlineStr">
        <is>
          <t>Display</t>
        </is>
      </c>
      <c r="B25" s="4" t="inlineStr">
        <is>
          <t>Display Stand with LED Light</t>
        </is>
      </c>
      <c r="C25" s="4" t="inlineStr"/>
      <c r="D25" s="4" t="inlineStr">
        <is>
          <t>FOSHAN SHUNGZUN</t>
        </is>
      </c>
      <c r="E25" s="4" t="inlineStr">
        <is>
          <t>87.75</t>
        </is>
      </c>
      <c r="F25" s="4" t="inlineStr"/>
      <c r="G25" s="4" t="inlineStr">
        <is>
          <t>75</t>
        </is>
      </c>
      <c r="H25" s="4" t="inlineStr">
        <is>
          <t>Stock per 2024 Zoho export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4" customWidth="1" min="2" max="2"/>
    <col width="30" customWidth="1" min="3" max="3"/>
    <col width="56" customWidth="1" min="4" max="4"/>
    <col width="14" customWidth="1" min="5" max="5"/>
    <col width="10" customWidth="1" min="6" max="6"/>
    <col width="34" customWidth="1" min="7" max="7"/>
  </cols>
  <sheetData>
    <row r="1">
      <c r="A1" s="9" t="inlineStr">
        <is>
          <t>ULTIMA MINING - 13 EXPLORATION LICENSES, TURKIYE (Phase-1 complete: Matrix Geotechnologies 2024, 777 samples)</t>
        </is>
      </c>
    </row>
    <row r="2">
      <c r="A2" s="8" t="inlineStr">
        <is>
          <t>Owner: Ultima Uluslararasi Tasimacilik Lojistik ve Dis Ticaret Ltd. Sti.  |  RISK: 2026 license &amp; rehabilitation fees were unpaid as of June 2026 - VERIFY LICENSES ARE ALIVE BEFORE ANY MARKETING.</t>
        </is>
      </c>
    </row>
    <row r="3"/>
    <row r="4">
      <c r="A4" s="3" t="inlineStr">
        <is>
          <t>Rank</t>
        </is>
      </c>
      <c r="B4" s="3" t="inlineStr">
        <is>
          <t>Site</t>
        </is>
      </c>
      <c r="C4" s="3" t="inlineStr">
        <is>
          <t>DepositType</t>
        </is>
      </c>
      <c r="D4" s="3" t="inlineStr">
        <is>
          <t>KeyResults</t>
        </is>
      </c>
      <c r="E4" s="3" t="inlineStr">
        <is>
          <t>LicenseNo</t>
        </is>
      </c>
      <c r="F4" s="3" t="inlineStr">
        <is>
          <t>PriorityRating</t>
        </is>
      </c>
      <c r="G4" s="3" t="inlineStr">
        <is>
          <t>Notes</t>
        </is>
      </c>
    </row>
    <row r="5">
      <c r="A5" s="4" t="inlineStr">
        <is>
          <t>1</t>
        </is>
      </c>
      <c r="B5" s="4" t="inlineStr">
        <is>
          <t>Erzurum / Ispir</t>
        </is>
      </c>
      <c r="C5" s="4" t="inlineStr">
        <is>
          <t>Cu Sulfide / Porphyry Cu</t>
        </is>
      </c>
      <c r="D5" s="4" t="inlineStr">
        <is>
          <t>5.08% Cu rock sample + Cu anomaly in 77% of stream samples; 2690 ppm As; 188 ppm Sb</t>
        </is>
      </c>
      <c r="E5" s="4" t="inlineStr">
        <is>
          <t>202300537</t>
        </is>
      </c>
      <c r="F5" s="4" t="inlineStr">
        <is>
          <t>5/5</t>
        </is>
      </c>
      <c r="G5" s="4" t="inlineStr"/>
    </row>
    <row r="6">
      <c r="A6" s="4" t="inlineStr">
        <is>
          <t>2</t>
        </is>
      </c>
      <c r="B6" s="4" t="inlineStr">
        <is>
          <t>Balikesir / Kayaeli</t>
        </is>
      </c>
      <c r="C6" s="4" t="inlineStr">
        <is>
          <t>Epithermal Ag-Pb-Zn + Ni-Co Sulfide</t>
        </is>
      </c>
      <c r="D6" s="4" t="inlineStr">
        <is>
          <t>110 ppm Ag stream (exceptional); 1936 ppm Zn + 500 ppm Pb; 89% Ni anomaly consistency</t>
        </is>
      </c>
      <c r="E6" s="4" t="inlineStr">
        <is>
          <t>202300781</t>
        </is>
      </c>
      <c r="F6" s="4" t="inlineStr">
        <is>
          <t>5/5</t>
        </is>
      </c>
      <c r="G6" s="4" t="inlineStr"/>
    </row>
    <row r="7">
      <c r="A7" s="4" t="inlineStr">
        <is>
          <t>3</t>
        </is>
      </c>
      <c r="B7" s="4" t="inlineStr">
        <is>
          <t>Kastamonu / Taskopru</t>
        </is>
      </c>
      <c r="C7" s="4" t="inlineStr">
        <is>
          <t>Cu-Zn Massive Sulfide</t>
        </is>
      </c>
      <c r="D7" s="4" t="inlineStr">
        <is>
          <t>Cu anomaly in 100% of stream samples (29/29); 215.6 ppm Pb + 283.3 ppm Zn max</t>
        </is>
      </c>
      <c r="E7" s="4" t="inlineStr">
        <is>
          <t>202300794</t>
        </is>
      </c>
      <c r="F7" s="4" t="inlineStr">
        <is>
          <t>5/5</t>
        </is>
      </c>
      <c r="G7" s="4" t="inlineStr"/>
    </row>
    <row r="8">
      <c r="A8" s="4" t="inlineStr">
        <is>
          <t>4</t>
        </is>
      </c>
      <c r="B8" s="4" t="inlineStr">
        <is>
          <t>Tokat / Turhal</t>
        </is>
      </c>
      <c r="C8" s="4" t="inlineStr">
        <is>
          <t>Epithermal Au-Cu</t>
        </is>
      </c>
      <c r="D8" s="4" t="inlineStr">
        <is>
          <t>1.75 ppm Au rock + 0.64 ppm Au stream; 69.4 ppm Mo; malachite-bearing quartzite</t>
        </is>
      </c>
      <c r="E8" s="4" t="inlineStr"/>
      <c r="F8" s="4" t="inlineStr">
        <is>
          <t>4/5</t>
        </is>
      </c>
      <c r="G8" s="4" t="inlineStr"/>
    </row>
    <row r="9">
      <c r="A9" s="4" t="inlineStr">
        <is>
          <t>5</t>
        </is>
      </c>
      <c r="B9" s="4" t="inlineStr">
        <is>
          <t>Kirsehir / Cicekdagi</t>
        </is>
      </c>
      <c r="C9" s="4" t="inlineStr">
        <is>
          <t>Porphyry / Epithermal</t>
        </is>
      </c>
      <c r="D9" s="4" t="inlineStr">
        <is>
          <t>4265 ppm Bi + 1277 ppm Mo rock</t>
        </is>
      </c>
      <c r="E9" s="4" t="inlineStr"/>
      <c r="F9" s="4" t="inlineStr">
        <is>
          <t>4/5</t>
        </is>
      </c>
      <c r="G9" s="4" t="inlineStr"/>
    </row>
    <row r="10">
      <c r="A10" s="4" t="inlineStr">
        <is>
          <t>6</t>
        </is>
      </c>
      <c r="B10" s="4" t="inlineStr">
        <is>
          <t>Adiyaman / Kocali</t>
        </is>
      </c>
      <c r="C10" s="4" t="inlineStr">
        <is>
          <t>Ni-Cu-Co Mafic</t>
        </is>
      </c>
      <c r="D10" s="4" t="inlineStr">
        <is>
          <t>88% Cu+Ni+Co triple anomaly</t>
        </is>
      </c>
      <c r="E10" s="4" t="inlineStr"/>
      <c r="F10" s="4" t="inlineStr">
        <is>
          <t>4/5</t>
        </is>
      </c>
      <c r="G10" s="4" t="inlineStr"/>
    </row>
    <row r="11">
      <c r="A11" s="4" t="inlineStr">
        <is>
          <t>7</t>
        </is>
      </c>
      <c r="B11" s="4" t="inlineStr">
        <is>
          <t>Mersin / Toros</t>
        </is>
      </c>
      <c r="C11" s="4" t="inlineStr">
        <is>
          <t>Zn-Pb MVT Carbonate</t>
        </is>
      </c>
      <c r="D11" s="4" t="inlineStr">
        <is>
          <t>93% Ni + 71% Zn stream anomaly</t>
        </is>
      </c>
      <c r="E11" s="4" t="inlineStr"/>
      <c r="F11" s="4" t="inlineStr">
        <is>
          <t>3/5</t>
        </is>
      </c>
      <c r="G11" s="4" t="inlineStr"/>
    </row>
    <row r="12">
      <c r="A12" s="4" t="inlineStr">
        <is>
          <t>8</t>
        </is>
      </c>
      <c r="B12" s="4" t="inlineStr">
        <is>
          <t>Ordu / Mesudiye</t>
        </is>
      </c>
      <c r="C12" s="4" t="inlineStr">
        <is>
          <t>VMS Fe-Cu-Zn</t>
        </is>
      </c>
      <c r="D12" s="4" t="inlineStr">
        <is>
          <t>93% Fe + 67% Cu stream anomaly</t>
        </is>
      </c>
      <c r="E12" s="4" t="inlineStr"/>
      <c r="F12" s="4" t="inlineStr">
        <is>
          <t>3/5</t>
        </is>
      </c>
      <c r="G12" s="4" t="inlineStr"/>
    </row>
    <row r="13">
      <c r="A13" s="4" t="inlineStr">
        <is>
          <t>9</t>
        </is>
      </c>
      <c r="B13" s="4" t="inlineStr">
        <is>
          <t>Amasya / Hamamozu</t>
        </is>
      </c>
      <c r="C13" s="4" t="inlineStr">
        <is>
          <t>Epithermal Hg-Au</t>
        </is>
      </c>
      <c r="D13" s="4" t="inlineStr">
        <is>
          <t>32% Hg anomaly + 0.7 ppm Ag</t>
        </is>
      </c>
      <c r="E13" s="4" t="inlineStr"/>
      <c r="F13" s="4" t="inlineStr">
        <is>
          <t>3/5</t>
        </is>
      </c>
      <c r="G13" s="4" t="inlineStr"/>
    </row>
    <row r="14">
      <c r="A14" s="4" t="inlineStr">
        <is>
          <t>10</t>
        </is>
      </c>
      <c r="B14" s="4" t="inlineStr">
        <is>
          <t>Malatya / Puturge</t>
        </is>
      </c>
      <c r="C14" s="4" t="inlineStr">
        <is>
          <t>IOCG / Skarn Fe-Zn</t>
        </is>
      </c>
      <c r="D14" s="4" t="inlineStr">
        <is>
          <t>48% Fe rock + 56% Zn stream</t>
        </is>
      </c>
      <c r="E14" s="4" t="inlineStr"/>
      <c r="F14" s="4" t="inlineStr">
        <is>
          <t>3/5</t>
        </is>
      </c>
      <c r="G14" s="4" t="inlineStr"/>
    </row>
    <row r="15">
      <c r="A15" s="4" t="inlineStr">
        <is>
          <t>11</t>
        </is>
      </c>
      <c r="B15" s="4" t="inlineStr">
        <is>
          <t>TBD (see full ULTIMA report)</t>
        </is>
      </c>
      <c r="C15" s="4" t="inlineStr"/>
      <c r="D15" s="4" t="inlineStr"/>
      <c r="E15" s="4" t="inlineStr"/>
      <c r="F15" s="4" t="inlineStr"/>
      <c r="G15" s="4" t="inlineStr">
        <is>
          <t>Sites 11-13 in full report PDF - extract Sunday</t>
        </is>
      </c>
    </row>
    <row r="16">
      <c r="A16" s="4" t="inlineStr">
        <is>
          <t>12</t>
        </is>
      </c>
      <c r="B16" s="4" t="inlineStr">
        <is>
          <t>TBD (see full ULTIMA report)</t>
        </is>
      </c>
      <c r="C16" s="4" t="inlineStr"/>
      <c r="D16" s="4" t="inlineStr"/>
      <c r="E16" s="4" t="inlineStr"/>
      <c r="F16" s="4" t="inlineStr"/>
      <c r="G16" s="4" t="inlineStr"/>
    </row>
    <row r="17">
      <c r="A17" s="4" t="inlineStr">
        <is>
          <t>13</t>
        </is>
      </c>
      <c r="B17" s="4" t="inlineStr">
        <is>
          <t>TBD (see full ULTIMA report)</t>
        </is>
      </c>
      <c r="C17" s="4" t="inlineStr"/>
      <c r="D17" s="4" t="inlineStr"/>
      <c r="E17" s="4" t="inlineStr"/>
      <c r="F17" s="4" t="inlineStr"/>
      <c r="G17" s="4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72" customWidth="1" min="1" max="1"/>
    <col width="12" customWidth="1" min="2" max="2"/>
  </cols>
  <sheetData>
    <row r="1">
      <c r="A1" s="9" t="inlineStr">
        <is>
          <t>PRICING TIER ASSUMPTIONS (edit the blue cells; every tier column recalculates)</t>
        </is>
      </c>
    </row>
    <row r="2">
      <c r="A2" s="4" t="inlineStr"/>
      <c r="B2" s="4" t="inlineStr"/>
    </row>
    <row r="3">
      <c r="A3" s="4" t="inlineStr">
        <is>
          <t>SLABS</t>
        </is>
      </c>
      <c r="B3" s="4" t="inlineStr"/>
    </row>
    <row r="4">
      <c r="A4" s="4" t="inlineStr">
        <is>
          <t>Quick-sale multiplier vs List A (bulk/one-lot exit, 7-21 days)</t>
        </is>
      </c>
      <c r="B4" s="12" t="n">
        <v>0.7</v>
      </c>
    </row>
    <row r="5">
      <c r="A5" s="4" t="inlineStr">
        <is>
          <t>Mid = List A (Jan-2025 offer sheet). Slow = List B (Jun-2025 list).</t>
        </is>
      </c>
      <c r="B5" s="4" t="inlineStr"/>
    </row>
    <row r="6">
      <c r="A6" s="4" t="inlineStr">
        <is>
          <t>EQUIPMENT</t>
        </is>
      </c>
      <c r="B6" s="4" t="inlineStr"/>
    </row>
    <row r="7">
      <c r="A7" s="4" t="inlineStr">
        <is>
          <t>Quick-sale multiplier vs unit cost (dealer/wholesale exit)</t>
        </is>
      </c>
      <c r="B7" s="12" t="n">
        <v>0.55</v>
      </c>
    </row>
    <row r="8">
      <c r="A8" s="4" t="inlineStr">
        <is>
          <t>Mid multiplier vs unit cost (direct end-user sale)</t>
        </is>
      </c>
      <c r="B8" s="12" t="n">
        <v>0.75</v>
      </c>
    </row>
    <row r="9">
      <c r="A9" s="4" t="inlineStr">
        <is>
          <t>APPLIANCES</t>
        </is>
      </c>
      <c r="B9" s="4" t="inlineStr"/>
    </row>
    <row r="10">
      <c r="A10" s="4" t="inlineStr">
        <is>
          <t>Quick multiplier vs MSRP (bulk to reseller/liquidator)</t>
        </is>
      </c>
      <c r="B10" s="4" t="n">
        <v>0.45</v>
      </c>
    </row>
    <row r="11">
      <c r="A11" s="4" t="inlineStr">
        <is>
          <t>Mid multiplier vs MSRP (contractor packages)</t>
        </is>
      </c>
      <c r="B11" s="12" t="n">
        <v>0.55</v>
      </c>
    </row>
    <row r="12">
      <c r="A12" s="4" t="inlineStr">
        <is>
          <t>Slow multiplier vs MSRP (retail one-by-one)</t>
        </is>
      </c>
      <c r="B12" s="12" t="n">
        <v>0.7</v>
      </c>
    </row>
    <row r="13">
      <c r="B13" s="12" t="n"/>
    </row>
    <row r="14">
      <c r="A14" s="4" t="inlineStr"/>
      <c r="B14" s="4" t="inlineStr"/>
    </row>
    <row r="15">
      <c r="A15" s="4" t="inlineStr">
        <is>
          <t>SOURCES:</t>
        </is>
      </c>
    </row>
    <row r="16">
      <c r="A16" s="4" t="inlineStr">
        <is>
          <t>Slabs: 'Inventory of Slabs and Tiles.xlsx' (List A, Jan-2025, incl. 25% bulk-discount footer) + 'Inventory of Slabs Northvale June 2025.xlsx' (List B). Google Drive.</t>
        </is>
      </c>
    </row>
    <row r="17">
      <c r="A17" s="4" t="inlineStr">
        <is>
          <t>Vietnam quartz actual purchase cost $481.28/slab from BZ Zoho item export ('Item (1).xlsx').</t>
        </is>
      </c>
    </row>
    <row r="18">
      <c r="A18" s="4" t="inlineStr">
        <is>
          <t>Equipment: 'Forklift and Warehouse Equipment Inventory (1).xlsx' (2024 stock summary w/ costs); on-hand flags from 'Forklift and Warehouse Equipment Inventory May 2026.xls'.</t>
        </is>
      </c>
    </row>
    <row r="19">
      <c r="A19" s="4" t="inlineStr">
        <is>
          <t>Appliances: 'APPLIANCES (1) (1).xlsx' (cost+MSRP) + 'APPLIANCES_updated_retail_prices.xlsx' (verified retail) + Milhurst pricing pack (2026-06-13).</t>
        </is>
      </c>
    </row>
    <row r="20">
      <c r="A20" s="4" t="inlineStr">
        <is>
          <t>Mining: 'ULTIMA_Arama_Projeleri_Sunum.pdf' (13-site Phase-1 report).</t>
        </is>
      </c>
    </row>
    <row r="21">
      <c r="A21" s="4" t="inlineStr">
        <is>
          <t>ALL quantities are per the source files - physical verification required before binding offers.</t>
        </is>
      </c>
    </row>
    <row r="22">
      <c r="A22" s="4" t="inlineStr">
        <is>
          <t>LEGAL: Seller of record = Milhurst Mills (agency structure). No offer without signed agency agreement + counsel clearance (Zazella &amp; Singer) - see SALES_PLAN_30_DAYS.md.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2026-08-27T05:06:41Z</dcterms:created>
  <dcterms:modified xsi:type="dcterms:W3CDTF">2026-08-27T05:06:41Z</dcterms:modified>
</cp:coreProperties>
</file>